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台帳" sheetId="2" state="visible" r:id="rId4"/>
    <sheet name="棚卸しチェック" sheetId="3" state="visible" r:id="rId5"/>
    <sheet name="版と根拠" sheetId="4" state="visible" r:id="rId6"/>
  </sheets>
  <definedNames>
    <definedName function="false" hidden="false" localSheetId="0" name="_xlnm.Print_Titles" vbProcedure="false">使い方!$1:$1</definedName>
    <definedName function="false" hidden="false" localSheetId="1" name="_xlnm.Print_Titles" vbProcedure="false">台帳!$1:$3</definedName>
    <definedName function="false" hidden="false" localSheetId="2" name="_xlnm.Print_Titles" vbProcedure="false">棚卸しチェック!$1:$10</definedName>
    <definedName function="false" hidden="false" localSheetId="3" name="_xlnm.Print_Titles" vbProcedure="false">版と根拠!$1:$1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<sst xmlns="http://schemas.openxmlformats.org/spreadsheetml/2006/main" count="154" uniqueCount="136">
  <si>
    <t xml:space="preserve">委託先・保守業者管理台帳　—　使い方</t>
  </si>
  <si>
    <t xml:space="preserve">様式名</t>
  </si>
  <si>
    <t xml:space="preserve">委託先・保守業者管理台帳</t>
  </si>
  <si>
    <t xml:space="preserve">ファイル名</t>
  </si>
  <si>
    <t xml:space="preserve">vendor-register-v1.0.xlsx</t>
  </si>
  <si>
    <t xml:space="preserve">版</t>
  </si>
  <si>
    <t xml:space="preserve">v1.0</t>
  </si>
  <si>
    <t xml:space="preserve">作成</t>
  </si>
  <si>
    <t xml:space="preserve">2026-09</t>
  </si>
  <si>
    <t xml:space="preserve">作成者</t>
  </si>
  <si>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（メディコト）　医療・介護</t>
    </r>
    <r>
      <rPr>
        <sz val="10"/>
        <rFont val="Yu Gothic"/>
        <family val="0"/>
        <charset val="1"/>
      </rPr>
      <t xml:space="preserve">DX</t>
    </r>
    <r>
      <rPr>
        <sz val="10"/>
        <rFont val="Yu Gothic"/>
        <family val="2"/>
      </rPr>
      <t xml:space="preserve">デイリー「現場の様式」</t>
    </r>
  </si>
  <si>
    <t xml:space="preserve">対象</t>
  </si>
  <si>
    <t xml:space="preserve">情報システム担当・総務（契約を管理する部署）</t>
  </si>
  <si>
    <t xml:space="preserve">使う場面</t>
  </si>
  <si>
    <r>
      <rPr>
        <sz val="10"/>
        <rFont val="Yu Gothic"/>
        <family val="2"/>
      </rPr>
      <t xml:space="preserve">年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回の棚卸し（契約・リモート保守・アカウントの見直し）と、契約更新・新規契約のとき</t>
    </r>
  </si>
  <si>
    <t xml:space="preserve">根拠資料</t>
  </si>
  <si>
    <r>
      <rPr>
        <sz val="10"/>
        <rFont val="Yu Gothic"/>
        <family val="2"/>
      </rPr>
      <t xml:space="preserve">・厚生労働省「医療情報システムの安全管理に関するガイドライン 第</t>
    </r>
    <r>
      <rPr>
        <sz val="10"/>
        <rFont val="Yu Gothic"/>
        <family val="0"/>
        <charset val="1"/>
      </rPr>
      <t xml:space="preserve">7.0</t>
    </r>
    <r>
      <rPr>
        <sz val="10"/>
        <rFont val="Yu Gothic"/>
        <family val="2"/>
      </rPr>
      <t xml:space="preserve">版」企画管理編（外部委託・契約で確認する事項）
・同 システム運用編（保守用アカウント・リモートメンテナンス・ログの管理）
・厚生労働省「医療機関等におけるサイバーセキュリティ対策チェックリスト（令和</t>
    </r>
    <r>
      <rPr>
        <sz val="10"/>
        <rFont val="Yu Gothic"/>
        <family val="0"/>
        <charset val="1"/>
      </rPr>
      <t xml:space="preserve">8</t>
    </r>
    <r>
      <rPr>
        <sz val="10"/>
        <rFont val="Yu Gothic"/>
        <family val="2"/>
      </rPr>
      <t xml:space="preserve">年度版）」（事業者との契約・リモート接続の項目）</t>
    </r>
  </si>
  <si>
    <t xml:space="preserve">使い方</t>
  </si>
  <si>
    <t xml:space="preserve">1</t>
  </si>
  <si>
    <t xml:space="preserve">このファイルは一般的なひな形です。自施設の体制・規程・契約に合わせて項目名・担当・文言を書き換えて使ってください（行の追加・削除は自由です）。</t>
  </si>
  <si>
    <t xml:space="preserve">2</t>
  </si>
  <si>
    <t xml:space="preserve">薄い黄色のセルが入力欄です。右の見本と同じ色のセルに記入します。</t>
  </si>
  <si>
    <t xml:space="preserve">入力欄の見本</t>
  </si>
  <si>
    <r>
      <rPr>
        <sz val="10"/>
        <rFont val="Yu Gothic"/>
        <family val="2"/>
      </rPr>
      <t xml:space="preserve">← この色のセルに入力します（薄い黄色 </t>
    </r>
    <r>
      <rPr>
        <sz val="10"/>
        <rFont val="Yu Gothic"/>
        <family val="0"/>
        <charset val="1"/>
      </rPr>
      <t xml:space="preserve">FFF9E0</t>
    </r>
    <r>
      <rPr>
        <sz val="10"/>
        <rFont val="Yu Gothic"/>
        <family val="2"/>
      </rPr>
      <t xml:space="preserve">）</t>
    </r>
  </si>
  <si>
    <t xml:space="preserve">3</t>
  </si>
  <si>
    <t xml:space="preserve">薄い緑のセルは自動計算（数式）です。通常は編集不要です。</t>
  </si>
  <si>
    <t xml:space="preserve">4</t>
  </si>
  <si>
    <t xml:space="preserve">「（例）」と書かれたグレー文字の行は記入例です。実際に使うときは削除するか、上書きしてください。</t>
  </si>
  <si>
    <t xml:space="preserve">5</t>
  </si>
  <si>
    <r>
      <rPr>
        <sz val="10"/>
        <rFont val="Yu Gothic"/>
        <family val="2"/>
      </rPr>
      <t xml:space="preserve">各シートは </t>
    </r>
    <r>
      <rPr>
        <sz val="10"/>
        <rFont val="Yu Gothic"/>
        <family val="0"/>
        <charset val="1"/>
      </rPr>
      <t xml:space="preserve">A4 </t>
    </r>
    <r>
      <rPr>
        <sz val="10"/>
        <rFont val="Yu Gothic"/>
        <family val="2"/>
      </rPr>
      <t xml:space="preserve">で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ページ幅に収まるよう印刷設定済みです（見出し行は各ページに繰り返し印刷されます）。</t>
    </r>
  </si>
  <si>
    <t xml:space="preserve">6</t>
  </si>
  <si>
    <t xml:space="preserve">個人情報や連絡先を記入したファイルの保管・共有・廃棄は、自施設の情報管理規程に従ってください。</t>
  </si>
  <si>
    <t xml:space="preserve">7</t>
  </si>
  <si>
    <r>
      <rPr>
        <sz val="10"/>
        <rFont val="Yu Gothic"/>
        <family val="2"/>
      </rPr>
      <t xml:space="preserve">「台帳」の行を </t>
    </r>
    <r>
      <rPr>
        <sz val="10"/>
        <rFont val="Yu Gothic"/>
        <family val="0"/>
        <charset val="1"/>
      </rPr>
      <t xml:space="preserve">20 </t>
    </r>
    <r>
      <rPr>
        <sz val="10"/>
        <rFont val="Yu Gothic"/>
        <family val="2"/>
      </rPr>
      <t xml:space="preserve">行より増やす場合は、表の途中に行を挿入してください（集計は </t>
    </r>
    <r>
      <rPr>
        <sz val="10"/>
        <rFont val="Yu Gothic"/>
        <family val="0"/>
        <charset val="1"/>
      </rPr>
      <t xml:space="preserve">204 </t>
    </r>
    <r>
      <rPr>
        <sz val="10"/>
        <rFont val="Yu Gothic"/>
        <family val="2"/>
      </rPr>
      <t xml:space="preserve">行目まで拾います）。「棚卸しチェック」の行も同じ行数だけコピーして増やしてください。</t>
    </r>
  </si>
  <si>
    <t xml:space="preserve">8</t>
  </si>
  <si>
    <r>
      <rPr>
        <sz val="10"/>
        <rFont val="Yu Gothic"/>
        <family val="2"/>
      </rPr>
      <t xml:space="preserve">「棚卸しチェック」の残日数・件数は開いた日（</t>
    </r>
    <r>
      <rPr>
        <sz val="10"/>
        <rFont val="Yu Gothic"/>
        <family val="0"/>
        <charset val="1"/>
      </rPr>
      <t xml:space="preserve">TODAY </t>
    </r>
    <r>
      <rPr>
        <sz val="10"/>
        <rFont val="Yu Gothic"/>
        <family val="2"/>
      </rPr>
      <t xml:space="preserve">関数）を基準に計算します。印刷した紙には印刷日を書き添えてください。</t>
    </r>
  </si>
  <si>
    <t xml:space="preserve">9</t>
  </si>
  <si>
    <t xml:space="preserve">契約書の原本は台帳に添付せず、保管場所（キャビネット番号・共有フォルダのパス）を記入します。</t>
  </si>
  <si>
    <t xml:space="preserve">シート構成</t>
  </si>
  <si>
    <t xml:space="preserve">台帳</t>
  </si>
  <si>
    <r>
      <rPr>
        <sz val="10"/>
        <rFont val="Yu Gothic"/>
        <family val="2"/>
      </rPr>
      <t xml:space="preserve">業者ごとに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行。契約期間・リモート保守の有無と接続方式・保守用アカウントの管理方法・再委託・緊急連絡先を記録する（記入例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行＋入力枠 </t>
    </r>
    <r>
      <rPr>
        <sz val="10"/>
        <rFont val="Yu Gothic"/>
        <family val="0"/>
        <charset val="1"/>
      </rPr>
      <t xml:space="preserve">20 </t>
    </r>
    <r>
      <rPr>
        <sz val="10"/>
        <rFont val="Yu Gothic"/>
        <family val="2"/>
      </rPr>
      <t xml:space="preserve">行）。</t>
    </r>
  </si>
  <si>
    <t xml:space="preserve">棚卸しチェック</t>
  </si>
  <si>
    <r>
      <rPr>
        <sz val="10"/>
        <rFont val="Yu Gothic"/>
        <family val="2"/>
      </rPr>
      <t xml:space="preserve">台帳の各行について年 </t>
    </r>
    <r>
      <rPr>
        <sz val="10"/>
        <rFont val="Yu Gothic"/>
        <family val="0"/>
        <charset val="1"/>
      </rPr>
      <t xml:space="preserve">1 </t>
    </r>
    <r>
      <rPr>
        <sz val="10"/>
        <rFont val="Yu Gothic"/>
        <family val="2"/>
      </rPr>
      <t xml:space="preserve">回確認する </t>
    </r>
    <r>
      <rPr>
        <sz val="10"/>
        <rFont val="Yu Gothic"/>
        <family val="0"/>
        <charset val="1"/>
      </rPr>
      <t xml:space="preserve">7 </t>
    </r>
    <r>
      <rPr>
        <sz val="10"/>
        <rFont val="Yu Gothic"/>
        <family val="2"/>
      </rPr>
      <t xml:space="preserve">項目（契約書・接続経路・アカウント・ログ・再委託・連絡先の疎通・</t>
    </r>
    <r>
      <rPr>
        <sz val="10"/>
        <rFont val="Yu Gothic"/>
        <family val="0"/>
        <charset val="1"/>
      </rPr>
      <t xml:space="preserve">SBOM/</t>
    </r>
    <r>
      <rPr>
        <sz val="10"/>
        <rFont val="Yu Gothic"/>
        <family val="2"/>
      </rPr>
      <t xml:space="preserve">脆弱性情報）。上部に登録業者数・リモート保守あり件数・</t>
    </r>
    <r>
      <rPr>
        <sz val="10"/>
        <rFont val="Yu Gothic"/>
        <family val="0"/>
        <charset val="1"/>
      </rPr>
      <t xml:space="preserve">90 </t>
    </r>
    <r>
      <rPr>
        <sz val="10"/>
        <rFont val="Yu Gothic"/>
        <family val="2"/>
      </rPr>
      <t xml:space="preserve">日以内に契約終了を迎える件数を自動集計。</t>
    </r>
  </si>
  <si>
    <t xml:space="preserve">版と根拠</t>
  </si>
  <si>
    <t xml:space="preserve">版の履歴と根拠資料。</t>
  </si>
  <si>
    <t xml:space="preserve">ご注意</t>
  </si>
  <si>
    <t xml:space="preserve">免責</t>
  </si>
  <si>
    <t xml:space="preserve">本様式は公開資料をもとに作成した参考例であり、法令・ガイドライン・公募要領の解釈を保証するものではありません。最新の一次資料（厚生労働省・各省庁・都道府県・事務局の公表資料）を必ず確認し、自施設の責任でご利用ください。</t>
  </si>
  <si>
    <r>
      <rPr>
        <sz val="9"/>
        <color rgb="FF595959"/>
        <rFont val="Yu Gothic"/>
        <family val="2"/>
      </rPr>
      <t xml:space="preserve">※ 業者ごとに </t>
    </r>
    <r>
      <rPr>
        <sz val="9"/>
        <color rgb="FF595959"/>
        <rFont val="Yu Gothic"/>
        <family val="0"/>
        <charset val="1"/>
      </rPr>
      <t xml:space="preserve">1 </t>
    </r>
    <r>
      <rPr>
        <sz val="9"/>
        <color rgb="FF595959"/>
        <rFont val="Yu Gothic"/>
        <family val="2"/>
      </rPr>
      <t xml:space="preserve">行。日付は </t>
    </r>
    <r>
      <rPr>
        <sz val="9"/>
        <color rgb="FF595959"/>
        <rFont val="Yu Gothic"/>
        <family val="0"/>
        <charset val="1"/>
      </rPr>
      <t xml:space="preserve">yyyy/mm/dd </t>
    </r>
    <r>
      <rPr>
        <sz val="9"/>
        <color rgb="FF595959"/>
        <rFont val="Yu Gothic"/>
        <family val="2"/>
      </rPr>
      <t xml:space="preserve">で入力。プルダウンのある列は選択（自由入力も可）。契約書原本の所在・リモート接続の経路・保守用アカウントの管理方法は、ガイドライン第</t>
    </r>
    <r>
      <rPr>
        <sz val="9"/>
        <color rgb="FF595959"/>
        <rFont val="Yu Gothic"/>
        <family val="0"/>
        <charset val="1"/>
      </rPr>
      <t xml:space="preserve">7.0</t>
    </r>
    <r>
      <rPr>
        <sz val="9"/>
        <color rgb="FF595959"/>
        <rFont val="Yu Gothic"/>
        <family val="2"/>
      </rPr>
      <t xml:space="preserve">版で確認が求められる事項。</t>
    </r>
  </si>
  <si>
    <t xml:space="preserve">No</t>
  </si>
  <si>
    <t xml:space="preserve">業者名</t>
  </si>
  <si>
    <t xml:space="preserve">対象システム・機器</t>
  </si>
  <si>
    <t xml:space="preserve">契約種別</t>
  </si>
  <si>
    <t xml:space="preserve">契約開始</t>
  </si>
  <si>
    <t xml:space="preserve">契約終了</t>
  </si>
  <si>
    <t xml:space="preserve">自動更新の有無</t>
  </si>
  <si>
    <t xml:space="preserve">契約書の保管場所</t>
  </si>
  <si>
    <t xml:space="preserve">リモート保守の有無</t>
  </si>
  <si>
    <t xml:space="preserve">接続方式</t>
  </si>
  <si>
    <t xml:space="preserve">保守用アカウントの管理方法</t>
  </si>
  <si>
    <t xml:space="preserve">守秘義務・個人情報の取扱契約</t>
  </si>
  <si>
    <t xml:space="preserve">再委託の有無・承諾</t>
  </si>
  <si>
    <t xml:space="preserve">責任者（業者側）</t>
  </si>
  <si>
    <t xml:space="preserve">緊急連絡先（電話）</t>
  </si>
  <si>
    <t xml:space="preserve">緊急連絡先（メール）</t>
  </si>
  <si>
    <t xml:space="preserve">年次確認日</t>
  </si>
  <si>
    <t xml:space="preserve">確認者</t>
  </si>
  <si>
    <t xml:space="preserve">備考</t>
  </si>
  <si>
    <t xml:space="preserve">例</t>
  </si>
  <si>
    <t xml:space="preserve">（例）〇〇システム株式会社</t>
  </si>
  <si>
    <r>
      <rPr>
        <sz val="10"/>
        <color rgb="FF7F7F7F"/>
        <rFont val="Yu Gothic"/>
        <family val="2"/>
      </rPr>
      <t xml:space="preserve">電子カルテ（サーバ・端末 </t>
    </r>
    <r>
      <rPr>
        <sz val="10"/>
        <color rgb="FF7F7F7F"/>
        <rFont val="Yu Gothic"/>
        <family val="0"/>
        <charset val="1"/>
      </rPr>
      <t xml:space="preserve">100 </t>
    </r>
    <r>
      <rPr>
        <sz val="10"/>
        <color rgb="FF7F7F7F"/>
        <rFont val="Yu Gothic"/>
        <family val="2"/>
      </rPr>
      <t xml:space="preserve">台）</t>
    </r>
  </si>
  <si>
    <t xml:space="preserve">保守</t>
  </si>
  <si>
    <t xml:space="preserve">あり</t>
  </si>
  <si>
    <r>
      <rPr>
        <sz val="10"/>
        <color rgb="FF7F7F7F"/>
        <rFont val="Yu Gothic"/>
        <family val="2"/>
      </rPr>
      <t xml:space="preserve">事務室 契約書庫 </t>
    </r>
    <r>
      <rPr>
        <sz val="10"/>
        <color rgb="FF7F7F7F"/>
        <rFont val="Yu Gothic"/>
        <family val="0"/>
        <charset val="1"/>
      </rPr>
      <t xml:space="preserve">A-3</t>
    </r>
    <r>
      <rPr>
        <sz val="10"/>
        <color rgb="FF7F7F7F"/>
        <rFont val="Yu Gothic"/>
        <family val="2"/>
      </rPr>
      <t xml:space="preserve">（</t>
    </r>
    <r>
      <rPr>
        <sz val="10"/>
        <color rgb="FF7F7F7F"/>
        <rFont val="Yu Gothic"/>
        <family val="0"/>
        <charset val="1"/>
      </rPr>
      <t xml:space="preserve">PDF</t>
    </r>
    <r>
      <rPr>
        <sz val="10"/>
        <color rgb="FF7F7F7F"/>
        <rFont val="Yu Gothic"/>
        <family val="2"/>
      </rPr>
      <t xml:space="preserve">：共有</t>
    </r>
    <r>
      <rPr>
        <sz val="10"/>
        <color rgb="FF7F7F7F"/>
        <rFont val="Yu Gothic"/>
        <family val="0"/>
        <charset val="1"/>
      </rPr>
      <t xml:space="preserve">\</t>
    </r>
    <r>
      <rPr>
        <sz val="10"/>
        <color rgb="FF7F7F7F"/>
        <rFont val="Yu Gothic"/>
        <family val="2"/>
      </rPr>
      <t xml:space="preserve">契約</t>
    </r>
    <r>
      <rPr>
        <sz val="10"/>
        <color rgb="FF7F7F7F"/>
        <rFont val="Yu Gothic"/>
        <family val="0"/>
        <charset val="1"/>
      </rPr>
      <t xml:space="preserve">\2024</t>
    </r>
    <r>
      <rPr>
        <sz val="10"/>
        <color rgb="FF7F7F7F"/>
        <rFont val="Yu Gothic"/>
        <family val="2"/>
      </rPr>
      <t xml:space="preserve">）</t>
    </r>
  </si>
  <si>
    <r>
      <rPr>
        <sz val="10"/>
        <color rgb="FF7F7F7F"/>
        <rFont val="Yu Gothic"/>
        <family val="0"/>
        <charset val="1"/>
      </rPr>
      <t xml:space="preserve">VPN</t>
    </r>
    <r>
      <rPr>
        <sz val="10"/>
        <color rgb="FF7F7F7F"/>
        <rFont val="Yu Gothic"/>
        <family val="2"/>
      </rPr>
      <t xml:space="preserve">（保守専用）</t>
    </r>
  </si>
  <si>
    <r>
      <rPr>
        <sz val="10"/>
        <color rgb="FF7F7F7F"/>
        <rFont val="Yu Gothic"/>
        <family val="2"/>
      </rPr>
      <t xml:space="preserve">業者ごとに専用 </t>
    </r>
    <r>
      <rPr>
        <sz val="10"/>
        <color rgb="FF7F7F7F"/>
        <rFont val="Yu Gothic"/>
        <family val="0"/>
        <charset val="1"/>
      </rPr>
      <t xml:space="preserve">ID</t>
    </r>
    <r>
      <rPr>
        <sz val="10"/>
        <color rgb="FF7F7F7F"/>
        <rFont val="Yu Gothic"/>
        <family val="2"/>
      </rPr>
      <t xml:space="preserve">。作業申請制、作業ログを月次で確認、退職者 </t>
    </r>
    <r>
      <rPr>
        <sz val="10"/>
        <color rgb="FF7F7F7F"/>
        <rFont val="Yu Gothic"/>
        <family val="0"/>
        <charset val="1"/>
      </rPr>
      <t xml:space="preserve">ID </t>
    </r>
    <r>
      <rPr>
        <sz val="10"/>
        <color rgb="FF7F7F7F"/>
        <rFont val="Yu Gothic"/>
        <family val="2"/>
      </rPr>
      <t xml:space="preserve">は即時削除</t>
    </r>
  </si>
  <si>
    <t xml:space="preserve">あり（承諾済）</t>
  </si>
  <si>
    <t xml:space="preserve">保守部 〇〇</t>
  </si>
  <si>
    <t xml:space="preserve">000-0000-0000</t>
  </si>
  <si>
    <t xml:space="preserve">support@example.com</t>
  </si>
  <si>
    <t xml:space="preserve">情報管理室 〇〇</t>
  </si>
  <si>
    <r>
      <rPr>
        <sz val="10"/>
        <color rgb="FF7F7F7F"/>
        <rFont val="Yu Gothic"/>
        <family val="0"/>
        <charset val="1"/>
      </rPr>
      <t xml:space="preserve">24 </t>
    </r>
    <r>
      <rPr>
        <sz val="10"/>
        <color rgb="FF7F7F7F"/>
        <rFont val="Yu Gothic"/>
        <family val="2"/>
      </rPr>
      <t xml:space="preserve">時間 </t>
    </r>
    <r>
      <rPr>
        <sz val="10"/>
        <color rgb="FF7F7F7F"/>
        <rFont val="Yu Gothic"/>
        <family val="0"/>
        <charset val="1"/>
      </rPr>
      <t xml:space="preserve">365 </t>
    </r>
    <r>
      <rPr>
        <sz val="10"/>
        <color rgb="FF7F7F7F"/>
        <rFont val="Yu Gothic"/>
        <family val="2"/>
      </rPr>
      <t xml:space="preserve">日対応。次回更新は </t>
    </r>
    <r>
      <rPr>
        <sz val="10"/>
        <color rgb="FF7F7F7F"/>
        <rFont val="Yu Gothic"/>
        <family val="0"/>
        <charset val="1"/>
      </rPr>
      <t xml:space="preserve">2027/1 </t>
    </r>
    <r>
      <rPr>
        <sz val="10"/>
        <color rgb="FF7F7F7F"/>
        <rFont val="Yu Gothic"/>
        <family val="2"/>
      </rPr>
      <t xml:space="preserve">に見積依頼</t>
    </r>
  </si>
  <si>
    <t xml:space="preserve">委託先・保守業者 年次棚卸しチェック</t>
  </si>
  <si>
    <r>
      <rPr>
        <sz val="9"/>
        <color rgb="FF595959"/>
        <rFont val="Yu Gothic"/>
        <family val="2"/>
      </rPr>
      <t xml:space="preserve">※ 台帳の各行について年 </t>
    </r>
    <r>
      <rPr>
        <sz val="9"/>
        <color rgb="FF595959"/>
        <rFont val="Yu Gothic"/>
        <family val="0"/>
        <charset val="1"/>
      </rPr>
      <t xml:space="preserve">1 </t>
    </r>
    <r>
      <rPr>
        <sz val="9"/>
        <color rgb="FF595959"/>
        <rFont val="Yu Gothic"/>
        <family val="2"/>
      </rPr>
      <t xml:space="preserve">回確認する。○＝確認済み　</t>
    </r>
    <r>
      <rPr>
        <sz val="9"/>
        <color rgb="FF595959"/>
        <rFont val="Yu Gothic"/>
        <family val="0"/>
        <charset val="1"/>
      </rPr>
      <t xml:space="preserve">×</t>
    </r>
    <r>
      <rPr>
        <sz val="9"/>
        <color rgb="FF595959"/>
        <rFont val="Yu Gothic"/>
        <family val="2"/>
      </rPr>
      <t xml:space="preserve">＝不備あり（備考に是正事項と期限を書く）　－＝該当なし。業者名・契約終了は「台帳」から自動で表示される。</t>
    </r>
  </si>
  <si>
    <t xml:space="preserve">集計（開いた日を基準に自動計算）</t>
  </si>
  <si>
    <t xml:space="preserve">登録業者数（台帳の業者名の入力数）</t>
  </si>
  <si>
    <t xml:space="preserve">棚卸し実施日</t>
  </si>
  <si>
    <t xml:space="preserve">リモート保守あり件数</t>
  </si>
  <si>
    <t xml:space="preserve">実施責任者</t>
  </si>
  <si>
    <r>
      <rPr>
        <b val="true"/>
        <sz val="10"/>
        <rFont val="Yu Gothic"/>
        <family val="0"/>
        <charset val="1"/>
      </rPr>
      <t xml:space="preserve">90 </t>
    </r>
    <r>
      <rPr>
        <b val="true"/>
        <sz val="10"/>
        <rFont val="Yu Gothic"/>
        <family val="2"/>
      </rPr>
      <t xml:space="preserve">日以内に契約終了を迎える件数（終了済みを含む）</t>
    </r>
  </si>
  <si>
    <t xml:space="preserve">要是正 件数</t>
  </si>
  <si>
    <t xml:space="preserve">うち契約終了日を過ぎている件数（要確認）</t>
  </si>
  <si>
    <t xml:space="preserve">完了 件数</t>
  </si>
  <si>
    <t xml:space="preserve">自動更新あり件数</t>
  </si>
  <si>
    <t xml:space="preserve">確認中 件数</t>
  </si>
  <si>
    <t xml:space="preserve">業者名（台帳から）</t>
  </si>
  <si>
    <t xml:space="preserve">契約終了（台帳から）</t>
  </si>
  <si>
    <t xml:space="preserve">残日数</t>
  </si>
  <si>
    <t xml:space="preserve">① 契約書の有無（原本・保管場所を確認）</t>
  </si>
  <si>
    <r>
      <rPr>
        <b val="true"/>
        <sz val="10"/>
        <rFont val="Yu Gothic"/>
        <family val="2"/>
      </rPr>
      <t xml:space="preserve">② リモート保守の接続経路を把握（</t>
    </r>
    <r>
      <rPr>
        <b val="true"/>
        <sz val="10"/>
        <rFont val="Yu Gothic"/>
        <family val="0"/>
        <charset val="1"/>
      </rPr>
      <t xml:space="preserve">VPN </t>
    </r>
    <r>
      <rPr>
        <b val="true"/>
        <sz val="10"/>
        <rFont val="Yu Gothic"/>
        <family val="2"/>
      </rPr>
      <t xml:space="preserve">機器・経路図）</t>
    </r>
  </si>
  <si>
    <r>
      <rPr>
        <b val="true"/>
        <sz val="10"/>
        <rFont val="Yu Gothic"/>
        <family val="2"/>
      </rPr>
      <t xml:space="preserve">③ 保守用アカウントの棚卸し（不要 </t>
    </r>
    <r>
      <rPr>
        <b val="true"/>
        <sz val="10"/>
        <rFont val="Yu Gothic"/>
        <family val="0"/>
        <charset val="1"/>
      </rPr>
      <t xml:space="preserve">ID </t>
    </r>
    <r>
      <rPr>
        <b val="true"/>
        <sz val="10"/>
        <rFont val="Yu Gothic"/>
        <family val="2"/>
      </rPr>
      <t xml:space="preserve">の削除・パスワード変更）</t>
    </r>
  </si>
  <si>
    <t xml:space="preserve">④ 保守作業ログの保管を確認</t>
  </si>
  <si>
    <t xml:space="preserve">⑤ 再委託の有無を把握（承諾書）</t>
  </si>
  <si>
    <t xml:space="preserve">⑥ 緊急連絡先の疎通確認（電話・メール）</t>
  </si>
  <si>
    <r>
      <rPr>
        <b val="true"/>
        <sz val="10"/>
        <rFont val="Yu Gothic"/>
        <family val="0"/>
        <charset val="1"/>
      </rPr>
      <t xml:space="preserve">⑦ SBOM</t>
    </r>
    <r>
      <rPr>
        <b val="true"/>
        <sz val="10"/>
        <rFont val="Yu Gothic"/>
        <family val="2"/>
      </rPr>
      <t xml:space="preserve">・脆弱性情報の提供有無</t>
    </r>
  </si>
  <si>
    <t xml:space="preserve">判定</t>
  </si>
  <si>
    <t xml:space="preserve">確認日</t>
  </si>
  <si>
    <t xml:space="preserve">備考・是正事項（期限・担当）</t>
  </si>
  <si>
    <t xml:space="preserve">○</t>
  </si>
  <si>
    <t xml:space="preserve">×</t>
  </si>
  <si>
    <t xml:space="preserve">－</t>
  </si>
  <si>
    <r>
      <rPr>
        <sz val="10"/>
        <color rgb="FF7F7F7F"/>
        <rFont val="Yu Gothic"/>
        <family val="2"/>
      </rPr>
      <t xml:space="preserve">⑥ 夜間窓口の番号が不通。業者へ確認し </t>
    </r>
    <r>
      <rPr>
        <sz val="10"/>
        <color rgb="FF7F7F7F"/>
        <rFont val="Yu Gothic"/>
        <family val="0"/>
        <charset val="1"/>
      </rPr>
      <t xml:space="preserve">7/15 </t>
    </r>
    <r>
      <rPr>
        <sz val="10"/>
        <color rgb="FF7F7F7F"/>
        <rFont val="Yu Gothic"/>
        <family val="2"/>
      </rPr>
      <t xml:space="preserve">までに台帳を更新（担当：〇〇）</t>
    </r>
  </si>
  <si>
    <r>
      <rPr>
        <sz val="9"/>
        <color rgb="FF595959"/>
        <rFont val="Yu Gothic"/>
        <family val="2"/>
      </rPr>
      <t xml:space="preserve">凡例：○＝確認済み　</t>
    </r>
    <r>
      <rPr>
        <sz val="9"/>
        <color rgb="FF595959"/>
        <rFont val="Yu Gothic"/>
        <family val="0"/>
        <charset val="1"/>
      </rPr>
      <t xml:space="preserve">×</t>
    </r>
    <r>
      <rPr>
        <sz val="9"/>
        <color rgb="FF595959"/>
        <rFont val="Yu Gothic"/>
        <family val="2"/>
      </rPr>
      <t xml:space="preserve">＝不備あり　－＝該当なし。判定は「</t>
    </r>
    <r>
      <rPr>
        <sz val="9"/>
        <color rgb="FF595959"/>
        <rFont val="Yu Gothic"/>
        <family val="0"/>
        <charset val="1"/>
      </rPr>
      <t xml:space="preserve">×</t>
    </r>
    <r>
      <rPr>
        <sz val="9"/>
        <color rgb="FF595959"/>
        <rFont val="Yu Gothic"/>
        <family val="2"/>
      </rPr>
      <t xml:space="preserve">が </t>
    </r>
    <r>
      <rPr>
        <sz val="9"/>
        <color rgb="FF595959"/>
        <rFont val="Yu Gothic"/>
        <family val="0"/>
        <charset val="1"/>
      </rPr>
      <t xml:space="preserve">1 </t>
    </r>
    <r>
      <rPr>
        <sz val="9"/>
        <color rgb="FF595959"/>
        <rFont val="Yu Gothic"/>
        <family val="2"/>
      </rPr>
      <t xml:space="preserve">つでもあれば要是正」「</t>
    </r>
    <r>
      <rPr>
        <sz val="9"/>
        <color rgb="FF595959"/>
        <rFont val="Yu Gothic"/>
        <family val="0"/>
        <charset val="1"/>
      </rPr>
      <t xml:space="preserve">7 </t>
    </r>
    <r>
      <rPr>
        <sz val="9"/>
        <color rgb="FF595959"/>
        <rFont val="Yu Gothic"/>
        <family val="2"/>
      </rPr>
      <t xml:space="preserve">項目すべて記入で完了」「それ以外は確認中」。残日数がマイナスの行は契約終了日を過ぎている（更新手続き・台帳の更新を確認）。</t>
    </r>
  </si>
  <si>
    <t xml:space="preserve">版の履歴</t>
  </si>
  <si>
    <t xml:space="preserve">日付</t>
  </si>
  <si>
    <t xml:space="preserve">変更点</t>
  </si>
  <si>
    <r>
      <rPr>
        <sz val="10"/>
        <rFont val="Yu Gothic"/>
        <family val="2"/>
      </rPr>
      <t xml:space="preserve">初版（</t>
    </r>
    <r>
      <rPr>
        <sz val="10"/>
        <rFont val="Yu Gothic"/>
        <family val="0"/>
        <charset val="1"/>
      </rPr>
      <t xml:space="preserve">MediKoto</t>
    </r>
    <r>
      <rPr>
        <sz val="10"/>
        <rFont val="Yu Gothic"/>
        <family val="2"/>
      </rPr>
      <t xml:space="preserve">「現場の様式」）</t>
    </r>
  </si>
  <si>
    <t xml:space="preserve">根拠資料（最新版は発行元サイトで確認してください）</t>
  </si>
  <si>
    <t xml:space="preserve">名称</t>
  </si>
  <si>
    <t xml:space="preserve">発行元</t>
  </si>
  <si>
    <r>
      <rPr>
        <b val="true"/>
        <sz val="10"/>
        <rFont val="Yu Gothic"/>
        <family val="0"/>
        <charset val="1"/>
      </rPr>
      <t xml:space="preserve">URL</t>
    </r>
    <r>
      <rPr>
        <b val="true"/>
        <sz val="10"/>
        <rFont val="Yu Gothic"/>
        <family val="2"/>
      </rPr>
      <t xml:space="preserve">・備考</t>
    </r>
  </si>
  <si>
    <r>
      <rPr>
        <sz val="10"/>
        <rFont val="Yu Gothic"/>
        <family val="2"/>
      </rPr>
      <t xml:space="preserve">医療情報システムの安全管理に関するガイドライン 第</t>
    </r>
    <r>
      <rPr>
        <sz val="10"/>
        <rFont val="Yu Gothic"/>
        <family val="0"/>
        <charset val="1"/>
      </rPr>
      <t xml:space="preserve">7.0</t>
    </r>
    <r>
      <rPr>
        <sz val="10"/>
        <rFont val="Yu Gothic"/>
        <family val="2"/>
      </rPr>
      <t xml:space="preserve">版 企画管理編（外部委託・契約、リスク評価）</t>
    </r>
  </si>
  <si>
    <t xml:space="preserve">厚生労働省</t>
  </si>
  <si>
    <t xml:space="preserve">「医療機関等におけるサイバーセキュリティ対策」ページからリンク</t>
  </si>
  <si>
    <r>
      <rPr>
        <sz val="10"/>
        <rFont val="Yu Gothic"/>
        <family val="2"/>
      </rPr>
      <t xml:space="preserve">医療情報システムの安全管理に関するガイドライン 第</t>
    </r>
    <r>
      <rPr>
        <sz val="10"/>
        <rFont val="Yu Gothic"/>
        <family val="0"/>
        <charset val="1"/>
      </rPr>
      <t xml:space="preserve">7.0</t>
    </r>
    <r>
      <rPr>
        <sz val="10"/>
        <rFont val="Yu Gothic"/>
        <family val="2"/>
      </rPr>
      <t xml:space="preserve">版 システム運用編（保守用アカウント・リモートメンテナンス・ログ）</t>
    </r>
  </si>
  <si>
    <t xml:space="preserve">同上</t>
  </si>
  <si>
    <r>
      <rPr>
        <sz val="10"/>
        <rFont val="Yu Gothic"/>
        <family val="2"/>
      </rPr>
      <t xml:space="preserve">医療機関等におけるサイバーセキュリティ対策チェックリスト（令和</t>
    </r>
    <r>
      <rPr>
        <sz val="10"/>
        <rFont val="Yu Gothic"/>
        <family val="0"/>
        <charset val="1"/>
      </rPr>
      <t xml:space="preserve">8</t>
    </r>
    <r>
      <rPr>
        <sz val="10"/>
        <rFont val="Yu Gothic"/>
        <family val="2"/>
      </rPr>
      <t xml:space="preserve">年度版）</t>
    </r>
  </si>
  <si>
    <t xml:space="preserve">厚生労働省 医政局</t>
  </si>
  <si>
    <t xml:space="preserve">https://www.mhlw.go.jp/stf/seisakunitsuite/bunya/kenkou_iryou/iryou/johoka/cyber-security.html</t>
  </si>
  <si>
    <t xml:space="preserve">医療情報を取り扱う情報システム・サービスの提供事業者における安全管理ガイドライン（事業者側の対応事項）</t>
  </si>
  <si>
    <t xml:space="preserve">総務省・経済産業省</t>
  </si>
  <si>
    <t xml:space="preserve">最新版は発行元サイトで確認</t>
  </si>
  <si>
    <r>
      <rPr>
        <sz val="10"/>
        <rFont val="Yu Gothic"/>
        <family val="2"/>
      </rPr>
      <t xml:space="preserve">ソフトウェア管理に向けた </t>
    </r>
    <r>
      <rPr>
        <sz val="10"/>
        <rFont val="Yu Gothic"/>
        <family val="0"/>
        <charset val="1"/>
      </rPr>
      <t xml:space="preserve">SBOM</t>
    </r>
    <r>
      <rPr>
        <sz val="10"/>
        <rFont val="Yu Gothic"/>
        <family val="2"/>
      </rPr>
      <t xml:space="preserve">（ソフトウェア部品構成表）導入の手引</t>
    </r>
  </si>
  <si>
    <t xml:space="preserve">経済産業省</t>
  </si>
  <si>
    <t xml:space="preserve">補足</t>
  </si>
  <si>
    <r>
      <rPr>
        <sz val="9"/>
        <color rgb="FF595959"/>
        <rFont val="Yu Gothic"/>
        <family val="2"/>
      </rPr>
      <t xml:space="preserve">・棚卸しの </t>
    </r>
    <r>
      <rPr>
        <sz val="9"/>
        <color rgb="FF595959"/>
        <rFont val="Yu Gothic"/>
        <family val="0"/>
        <charset val="1"/>
      </rPr>
      <t xml:space="preserve">7 </t>
    </r>
    <r>
      <rPr>
        <sz val="9"/>
        <color rgb="FF595959"/>
        <rFont val="Yu Gothic"/>
        <family val="2"/>
      </rPr>
      <t xml:space="preserve">項目は、ガイドライン第</t>
    </r>
    <r>
      <rPr>
        <sz val="9"/>
        <color rgb="FF595959"/>
        <rFont val="Yu Gothic"/>
        <family val="0"/>
        <charset val="1"/>
      </rPr>
      <t xml:space="preserve">7.0</t>
    </r>
    <r>
      <rPr>
        <sz val="9"/>
        <color rgb="FF595959"/>
        <rFont val="Yu Gothic"/>
        <family val="2"/>
      </rPr>
      <t xml:space="preserve">版で医療機関側が把握・確認すべき事項から実務上よく問題になるものを選んだものです。自施設の契約内容に合わせて増減してください。
・集計の「</t>
    </r>
    <r>
      <rPr>
        <sz val="9"/>
        <color rgb="FF595959"/>
        <rFont val="Yu Gothic"/>
        <family val="0"/>
        <charset val="1"/>
      </rPr>
      <t xml:space="preserve">90 </t>
    </r>
    <r>
      <rPr>
        <sz val="9"/>
        <color rgb="FF595959"/>
        <rFont val="Yu Gothic"/>
        <family val="2"/>
      </rPr>
      <t xml:space="preserve">日以内」は目安です。契約更新の見積・稟議に要する期間に合わせて、数式の </t>
    </r>
    <r>
      <rPr>
        <sz val="9"/>
        <color rgb="FF595959"/>
        <rFont val="Yu Gothic"/>
        <family val="0"/>
        <charset val="1"/>
      </rPr>
      <t xml:space="preserve">90 </t>
    </r>
    <r>
      <rPr>
        <sz val="9"/>
        <color rgb="FF595959"/>
        <rFont val="Yu Gothic"/>
        <family val="2"/>
      </rPr>
      <t xml:space="preserve">を変更してください。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</si>
</sst>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0"/>
  </numFmts>
  <fonts count="15">
    <font>
      <sz val="11"/>
      <color theme="1"/>
      <name val="Yu Gothic"/>
      <family val="2"/>
      <charset val="1"/>
    </font>
    <font>
      <sz val="10"/>
      <name val="Yu Gothic"/>
      <family val="0"/>
    </font>
    <font>
      <sz val="10"/>
      <name val="Yu Gothic"/>
      <family val="0"/>
    </font>
    <font>
      <sz val="10"/>
      <name val="Yu Gothic"/>
      <family val="0"/>
    </font>
    <font>
      <b val="true"/>
      <sz val="14"/>
      <name val="Meiryo UI"/>
      <family val="2"/>
    </font>
    <font>
      <b val="true"/>
      <sz val="10"/>
      <name val="Meiryo UI"/>
      <family val="2"/>
    </font>
    <font>
      <sz val="10"/>
      <name val="Yu Gothic"/>
      <family val="2"/>
    </font>
    <font>
      <sz val="10"/>
      <name val="Yu Gothic"/>
      <family val="0"/>
      <charset val="1"/>
    </font>
    <font>
      <sz val="9"/>
      <color rgb="FF595959"/>
      <name val="Yu Gothic"/>
      <family val="2"/>
    </font>
    <font>
      <sz val="9"/>
      <color rgb="FF595959"/>
      <name val="Yu Gothic"/>
      <family val="0"/>
      <charset val="1"/>
    </font>
    <font>
      <b val="true"/>
      <sz val="10"/>
      <name val="Meiryo UI"/>
      <family val="0"/>
      <charset val="1"/>
    </font>
    <font>
      <sz val="10"/>
      <color rgb="FF7F7F7F"/>
      <name val="Yu Gothic"/>
      <family val="2"/>
    </font>
    <font>
      <sz val="10"/>
      <color rgb="FF7F7F7F"/>
      <name val="Yu Gothic"/>
      <family val="0"/>
      <charset val="1"/>
    </font>
    <font>
      <sz val="11"/>
      <name val="Yu Gothic"/>
      <family val="0"/>
      <charset val="1"/>
    </font>
    <font>
      <sz val="10"/>
      <color rgb="FF0563C1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FFF9E0"/>
        <bgColor rgb="FFE2EFDA"/>
      </patternFill>
    </fill>
    <fill>
      <patternFill patternType="solid">
        <fgColor rgb="FFE2EFDA"/>
        <bgColor rgb="FFE7E6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E0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hlw.go.jp/stf/seisakunitsuite/bunya/kenkou_iryou/iryou/johoka/cyber-security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3" t="s">
        <v>2</v>
      </c>
    </row>
    <row r="4" customFormat="false" ht="19.5" hidden="false" customHeight="true" outlineLevel="0" collapsed="false">
      <c r="A4" s="2" t="s">
        <v>3</v>
      </c>
      <c r="B4" s="4" t="s">
        <v>4</v>
      </c>
    </row>
    <row r="5" customFormat="false" ht="19.5" hidden="false" customHeight="true" outlineLevel="0" collapsed="false">
      <c r="A5" s="2" t="s">
        <v>5</v>
      </c>
      <c r="B5" s="4" t="s">
        <v>6</v>
      </c>
    </row>
    <row r="6" customFormat="false" ht="19.5" hidden="false" customHeight="true" outlineLevel="0" collapsed="false">
      <c r="A6" s="2" t="s">
        <v>7</v>
      </c>
      <c r="B6" s="4" t="s">
        <v>8</v>
      </c>
    </row>
    <row r="7" customFormat="false" ht="19.5" hidden="false" customHeight="true" outlineLevel="0" collapsed="false">
      <c r="A7" s="2" t="s">
        <v>9</v>
      </c>
      <c r="B7" s="4" t="s">
        <v>10</v>
      </c>
    </row>
    <row r="8" customFormat="false" ht="19.5" hidden="false" customHeight="true" outlineLevel="0" collapsed="false">
      <c r="A8" s="2" t="s">
        <v>11</v>
      </c>
      <c r="B8" s="3" t="s">
        <v>12</v>
      </c>
    </row>
    <row r="9" customFormat="false" ht="19.5" hidden="false" customHeight="true" outlineLevel="0" collapsed="false">
      <c r="A9" s="2" t="s">
        <v>13</v>
      </c>
      <c r="B9" s="3" t="s">
        <v>14</v>
      </c>
    </row>
    <row r="10" customFormat="false" ht="73.5" hidden="false" customHeight="true" outlineLevel="0" collapsed="false">
      <c r="A10" s="2" t="s">
        <v>15</v>
      </c>
      <c r="B10" s="3" t="s">
        <v>16</v>
      </c>
    </row>
    <row r="12" customFormat="false" ht="19.5" hidden="false" customHeight="true" outlineLevel="0" collapsed="false">
      <c r="A12" s="5" t="s">
        <v>17</v>
      </c>
      <c r="B12" s="5"/>
    </row>
    <row r="13" customFormat="false" ht="31.5" hidden="false" customHeight="true" outlineLevel="0" collapsed="false">
      <c r="A13" s="6" t="s">
        <v>18</v>
      </c>
      <c r="B13" s="3" t="s">
        <v>19</v>
      </c>
    </row>
    <row r="14" customFormat="false" ht="19.5" hidden="false" customHeight="true" outlineLevel="0" collapsed="false">
      <c r="A14" s="6" t="s">
        <v>20</v>
      </c>
      <c r="B14" s="3" t="s">
        <v>21</v>
      </c>
    </row>
    <row r="15" customFormat="false" ht="19.5" hidden="false" customHeight="true" outlineLevel="0" collapsed="false">
      <c r="A15" s="2" t="s">
        <v>22</v>
      </c>
      <c r="B15" s="7" t="s">
        <v>23</v>
      </c>
    </row>
    <row r="16" customFormat="false" ht="19.5" hidden="false" customHeight="true" outlineLevel="0" collapsed="false">
      <c r="A16" s="6" t="s">
        <v>24</v>
      </c>
      <c r="B16" s="3" t="s">
        <v>25</v>
      </c>
    </row>
    <row r="17" customFormat="false" ht="19.5" hidden="false" customHeight="true" outlineLevel="0" collapsed="false">
      <c r="A17" s="6" t="s">
        <v>26</v>
      </c>
      <c r="B17" s="3" t="s">
        <v>27</v>
      </c>
    </row>
    <row r="18" customFormat="false" ht="31.5" hidden="false" customHeight="true" outlineLevel="0" collapsed="false">
      <c r="A18" s="6" t="s">
        <v>28</v>
      </c>
      <c r="B18" s="3" t="s">
        <v>29</v>
      </c>
    </row>
    <row r="19" customFormat="false" ht="19.5" hidden="false" customHeight="true" outlineLevel="0" collapsed="false">
      <c r="A19" s="6" t="s">
        <v>30</v>
      </c>
      <c r="B19" s="3" t="s">
        <v>31</v>
      </c>
    </row>
    <row r="20" customFormat="false" ht="31.5" hidden="false" customHeight="true" outlineLevel="0" collapsed="false">
      <c r="A20" s="6" t="s">
        <v>32</v>
      </c>
      <c r="B20" s="3" t="s">
        <v>33</v>
      </c>
    </row>
    <row r="21" customFormat="false" ht="31.5" hidden="false" customHeight="true" outlineLevel="0" collapsed="false">
      <c r="A21" s="6" t="s">
        <v>34</v>
      </c>
      <c r="B21" s="3" t="s">
        <v>35</v>
      </c>
    </row>
    <row r="22" customFormat="false" ht="19.5" hidden="false" customHeight="true" outlineLevel="0" collapsed="false">
      <c r="A22" s="6" t="s">
        <v>36</v>
      </c>
      <c r="B22" s="3" t="s">
        <v>37</v>
      </c>
    </row>
    <row r="24" customFormat="false" ht="19.5" hidden="false" customHeight="true" outlineLevel="0" collapsed="false">
      <c r="A24" s="5" t="s">
        <v>38</v>
      </c>
      <c r="B24" s="5"/>
    </row>
    <row r="25" customFormat="false" ht="31.5" hidden="false" customHeight="true" outlineLevel="0" collapsed="false">
      <c r="A25" s="2" t="s">
        <v>39</v>
      </c>
      <c r="B25" s="3" t="s">
        <v>40</v>
      </c>
    </row>
    <row r="26" customFormat="false" ht="45.75" hidden="false" customHeight="true" outlineLevel="0" collapsed="false">
      <c r="A26" s="2" t="s">
        <v>41</v>
      </c>
      <c r="B26" s="3" t="s">
        <v>42</v>
      </c>
    </row>
    <row r="27" customFormat="false" ht="19.5" hidden="false" customHeight="true" outlineLevel="0" collapsed="false">
      <c r="A27" s="2" t="s">
        <v>43</v>
      </c>
      <c r="B27" s="3" t="s">
        <v>44</v>
      </c>
    </row>
    <row r="29" customFormat="false" ht="19.5" hidden="false" customHeight="true" outlineLevel="0" collapsed="false">
      <c r="A29" s="5" t="s">
        <v>45</v>
      </c>
      <c r="B29" s="5"/>
    </row>
    <row r="30" customFormat="false" ht="45.75" hidden="false" customHeight="true" outlineLevel="0" collapsed="false">
      <c r="A30" s="2" t="s">
        <v>46</v>
      </c>
      <c r="B30" s="3" t="s">
        <v>47</v>
      </c>
    </row>
  </sheetData>
  <mergeCells count="4">
    <mergeCell ref="A1:B1"/>
    <mergeCell ref="A12:B12"/>
    <mergeCell ref="A24:B24"/>
    <mergeCell ref="A29:B2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8" min="17" style="0" width="11"/>
    <col collapsed="false" customWidth="true" hidden="false" outlineLevel="0" max="19" min="19" style="0" width="24"/>
  </cols>
  <sheetData>
    <row r="1" customFormat="false" ht="25.5" hidden="false" customHeight="true" outlineLevel="0" collapsed="false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8" t="s">
        <v>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customFormat="false" ht="43.5" hidden="false" customHeight="true" outlineLevel="0" collapsed="false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0" t="s">
        <v>56</v>
      </c>
      <c r="I3" s="10" t="s">
        <v>57</v>
      </c>
      <c r="J3" s="10" t="s">
        <v>58</v>
      </c>
      <c r="K3" s="10" t="s">
        <v>59</v>
      </c>
      <c r="L3" s="10" t="s">
        <v>60</v>
      </c>
      <c r="M3" s="10" t="s">
        <v>61</v>
      </c>
      <c r="N3" s="10" t="s">
        <v>62</v>
      </c>
      <c r="O3" s="10" t="s">
        <v>63</v>
      </c>
      <c r="P3" s="10" t="s">
        <v>64</v>
      </c>
      <c r="Q3" s="10" t="s">
        <v>65</v>
      </c>
      <c r="R3" s="10" t="s">
        <v>66</v>
      </c>
      <c r="S3" s="10" t="s">
        <v>67</v>
      </c>
    </row>
    <row r="4" customFormat="false" ht="45.75" hidden="false" customHeight="true" outlineLevel="0" collapsed="false">
      <c r="A4" s="11" t="s">
        <v>68</v>
      </c>
      <c r="B4" s="12" t="s">
        <v>69</v>
      </c>
      <c r="C4" s="12" t="s">
        <v>70</v>
      </c>
      <c r="D4" s="13" t="s">
        <v>71</v>
      </c>
      <c r="E4" s="14" t="n">
        <v>45383</v>
      </c>
      <c r="F4" s="14" t="n">
        <v>46477</v>
      </c>
      <c r="G4" s="13" t="s">
        <v>72</v>
      </c>
      <c r="H4" s="12" t="s">
        <v>73</v>
      </c>
      <c r="I4" s="13" t="s">
        <v>72</v>
      </c>
      <c r="J4" s="15" t="s">
        <v>74</v>
      </c>
      <c r="K4" s="12" t="s">
        <v>75</v>
      </c>
      <c r="L4" s="13" t="s">
        <v>72</v>
      </c>
      <c r="M4" s="13" t="s">
        <v>76</v>
      </c>
      <c r="N4" s="12" t="s">
        <v>77</v>
      </c>
      <c r="O4" s="15" t="s">
        <v>78</v>
      </c>
      <c r="P4" s="15" t="s">
        <v>79</v>
      </c>
      <c r="Q4" s="14" t="n">
        <v>46188</v>
      </c>
      <c r="R4" s="12" t="s">
        <v>80</v>
      </c>
      <c r="S4" s="15" t="s">
        <v>81</v>
      </c>
    </row>
    <row r="5" customFormat="false" ht="24" hidden="false" customHeight="true" outlineLevel="0" collapsed="false">
      <c r="A5" s="6" t="n">
        <v>1</v>
      </c>
      <c r="B5" s="16"/>
      <c r="C5" s="16"/>
      <c r="D5" s="17"/>
      <c r="E5" s="18"/>
      <c r="F5" s="18"/>
      <c r="G5" s="17"/>
      <c r="H5" s="16"/>
      <c r="I5" s="17"/>
      <c r="J5" s="16"/>
      <c r="K5" s="16"/>
      <c r="L5" s="17"/>
      <c r="M5" s="17"/>
      <c r="N5" s="16"/>
      <c r="O5" s="16"/>
      <c r="P5" s="16"/>
      <c r="Q5" s="18"/>
      <c r="R5" s="16"/>
      <c r="S5" s="16"/>
    </row>
    <row r="6" customFormat="false" ht="24" hidden="false" customHeight="true" outlineLevel="0" collapsed="false">
      <c r="A6" s="6" t="n">
        <v>2</v>
      </c>
      <c r="B6" s="16"/>
      <c r="C6" s="16"/>
      <c r="D6" s="17"/>
      <c r="E6" s="18"/>
      <c r="F6" s="18"/>
      <c r="G6" s="17"/>
      <c r="H6" s="16"/>
      <c r="I6" s="17"/>
      <c r="J6" s="16"/>
      <c r="K6" s="16"/>
      <c r="L6" s="17"/>
      <c r="M6" s="17"/>
      <c r="N6" s="16"/>
      <c r="O6" s="16"/>
      <c r="P6" s="16"/>
      <c r="Q6" s="18"/>
      <c r="R6" s="16"/>
      <c r="S6" s="16"/>
    </row>
    <row r="7" customFormat="false" ht="24" hidden="false" customHeight="true" outlineLevel="0" collapsed="false">
      <c r="A7" s="6" t="n">
        <v>3</v>
      </c>
      <c r="B7" s="16"/>
      <c r="C7" s="16"/>
      <c r="D7" s="17"/>
      <c r="E7" s="18"/>
      <c r="F7" s="18"/>
      <c r="G7" s="17"/>
      <c r="H7" s="16"/>
      <c r="I7" s="17"/>
      <c r="J7" s="16"/>
      <c r="K7" s="16"/>
      <c r="L7" s="17"/>
      <c r="M7" s="17"/>
      <c r="N7" s="16"/>
      <c r="O7" s="16"/>
      <c r="P7" s="16"/>
      <c r="Q7" s="18"/>
      <c r="R7" s="16"/>
      <c r="S7" s="16"/>
    </row>
    <row r="8" customFormat="false" ht="24" hidden="false" customHeight="true" outlineLevel="0" collapsed="false">
      <c r="A8" s="6" t="n">
        <v>4</v>
      </c>
      <c r="B8" s="16"/>
      <c r="C8" s="16"/>
      <c r="D8" s="17"/>
      <c r="E8" s="18"/>
      <c r="F8" s="18"/>
      <c r="G8" s="17"/>
      <c r="H8" s="16"/>
      <c r="I8" s="17"/>
      <c r="J8" s="16"/>
      <c r="K8" s="16"/>
      <c r="L8" s="17"/>
      <c r="M8" s="17"/>
      <c r="N8" s="16"/>
      <c r="O8" s="16"/>
      <c r="P8" s="16"/>
      <c r="Q8" s="18"/>
      <c r="R8" s="16"/>
      <c r="S8" s="16"/>
    </row>
    <row r="9" customFormat="false" ht="24" hidden="false" customHeight="true" outlineLevel="0" collapsed="false">
      <c r="A9" s="6" t="n">
        <v>5</v>
      </c>
      <c r="B9" s="16"/>
      <c r="C9" s="16"/>
      <c r="D9" s="17"/>
      <c r="E9" s="18"/>
      <c r="F9" s="18"/>
      <c r="G9" s="17"/>
      <c r="H9" s="16"/>
      <c r="I9" s="17"/>
      <c r="J9" s="16"/>
      <c r="K9" s="16"/>
      <c r="L9" s="17"/>
      <c r="M9" s="17"/>
      <c r="N9" s="16"/>
      <c r="O9" s="16"/>
      <c r="P9" s="16"/>
      <c r="Q9" s="18"/>
      <c r="R9" s="16"/>
      <c r="S9" s="16"/>
    </row>
    <row r="10" customFormat="false" ht="24" hidden="false" customHeight="true" outlineLevel="0" collapsed="false">
      <c r="A10" s="6" t="n">
        <v>6</v>
      </c>
      <c r="B10" s="16"/>
      <c r="C10" s="16"/>
      <c r="D10" s="17"/>
      <c r="E10" s="18"/>
      <c r="F10" s="18"/>
      <c r="G10" s="17"/>
      <c r="H10" s="16"/>
      <c r="I10" s="17"/>
      <c r="J10" s="16"/>
      <c r="K10" s="16"/>
      <c r="L10" s="17"/>
      <c r="M10" s="17"/>
      <c r="N10" s="16"/>
      <c r="O10" s="16"/>
      <c r="P10" s="16"/>
      <c r="Q10" s="18"/>
      <c r="R10" s="16"/>
      <c r="S10" s="16"/>
    </row>
    <row r="11" customFormat="false" ht="24" hidden="false" customHeight="true" outlineLevel="0" collapsed="false">
      <c r="A11" s="6" t="n">
        <v>7</v>
      </c>
      <c r="B11" s="16"/>
      <c r="C11" s="16"/>
      <c r="D11" s="17"/>
      <c r="E11" s="18"/>
      <c r="F11" s="18"/>
      <c r="G11" s="17"/>
      <c r="H11" s="16"/>
      <c r="I11" s="17"/>
      <c r="J11" s="16"/>
      <c r="K11" s="16"/>
      <c r="L11" s="17"/>
      <c r="M11" s="17"/>
      <c r="N11" s="16"/>
      <c r="O11" s="16"/>
      <c r="P11" s="16"/>
      <c r="Q11" s="18"/>
      <c r="R11" s="16"/>
      <c r="S11" s="16"/>
    </row>
    <row r="12" customFormat="false" ht="24" hidden="false" customHeight="true" outlineLevel="0" collapsed="false">
      <c r="A12" s="6" t="n">
        <v>8</v>
      </c>
      <c r="B12" s="16"/>
      <c r="C12" s="16"/>
      <c r="D12" s="17"/>
      <c r="E12" s="18"/>
      <c r="F12" s="18"/>
      <c r="G12" s="17"/>
      <c r="H12" s="16"/>
      <c r="I12" s="17"/>
      <c r="J12" s="16"/>
      <c r="K12" s="16"/>
      <c r="L12" s="17"/>
      <c r="M12" s="17"/>
      <c r="N12" s="16"/>
      <c r="O12" s="16"/>
      <c r="P12" s="16"/>
      <c r="Q12" s="18"/>
      <c r="R12" s="16"/>
      <c r="S12" s="16"/>
    </row>
    <row r="13" customFormat="false" ht="24" hidden="false" customHeight="true" outlineLevel="0" collapsed="false">
      <c r="A13" s="6" t="n">
        <v>9</v>
      </c>
      <c r="B13" s="16"/>
      <c r="C13" s="16"/>
      <c r="D13" s="17"/>
      <c r="E13" s="18"/>
      <c r="F13" s="18"/>
      <c r="G13" s="17"/>
      <c r="H13" s="16"/>
      <c r="I13" s="17"/>
      <c r="J13" s="16"/>
      <c r="K13" s="16"/>
      <c r="L13" s="17"/>
      <c r="M13" s="17"/>
      <c r="N13" s="16"/>
      <c r="O13" s="16"/>
      <c r="P13" s="16"/>
      <c r="Q13" s="18"/>
      <c r="R13" s="16"/>
      <c r="S13" s="16"/>
    </row>
    <row r="14" customFormat="false" ht="24" hidden="false" customHeight="true" outlineLevel="0" collapsed="false">
      <c r="A14" s="6" t="n">
        <v>10</v>
      </c>
      <c r="B14" s="16"/>
      <c r="C14" s="16"/>
      <c r="D14" s="17"/>
      <c r="E14" s="18"/>
      <c r="F14" s="18"/>
      <c r="G14" s="17"/>
      <c r="H14" s="16"/>
      <c r="I14" s="17"/>
      <c r="J14" s="16"/>
      <c r="K14" s="16"/>
      <c r="L14" s="17"/>
      <c r="M14" s="17"/>
      <c r="N14" s="16"/>
      <c r="O14" s="16"/>
      <c r="P14" s="16"/>
      <c r="Q14" s="18"/>
      <c r="R14" s="16"/>
      <c r="S14" s="16"/>
    </row>
    <row r="15" customFormat="false" ht="24" hidden="false" customHeight="true" outlineLevel="0" collapsed="false">
      <c r="A15" s="6" t="n">
        <v>11</v>
      </c>
      <c r="B15" s="16"/>
      <c r="C15" s="16"/>
      <c r="D15" s="17"/>
      <c r="E15" s="18"/>
      <c r="F15" s="18"/>
      <c r="G15" s="17"/>
      <c r="H15" s="16"/>
      <c r="I15" s="17"/>
      <c r="J15" s="16"/>
      <c r="K15" s="16"/>
      <c r="L15" s="17"/>
      <c r="M15" s="17"/>
      <c r="N15" s="16"/>
      <c r="O15" s="16"/>
      <c r="P15" s="16"/>
      <c r="Q15" s="18"/>
      <c r="R15" s="16"/>
      <c r="S15" s="16"/>
    </row>
    <row r="16" customFormat="false" ht="24" hidden="false" customHeight="true" outlineLevel="0" collapsed="false">
      <c r="A16" s="6" t="n">
        <v>12</v>
      </c>
      <c r="B16" s="16"/>
      <c r="C16" s="16"/>
      <c r="D16" s="17"/>
      <c r="E16" s="18"/>
      <c r="F16" s="18"/>
      <c r="G16" s="17"/>
      <c r="H16" s="16"/>
      <c r="I16" s="17"/>
      <c r="J16" s="16"/>
      <c r="K16" s="16"/>
      <c r="L16" s="17"/>
      <c r="M16" s="17"/>
      <c r="N16" s="16"/>
      <c r="O16" s="16"/>
      <c r="P16" s="16"/>
      <c r="Q16" s="18"/>
      <c r="R16" s="16"/>
      <c r="S16" s="16"/>
    </row>
    <row r="17" customFormat="false" ht="24" hidden="false" customHeight="true" outlineLevel="0" collapsed="false">
      <c r="A17" s="6" t="n">
        <v>13</v>
      </c>
      <c r="B17" s="16"/>
      <c r="C17" s="16"/>
      <c r="D17" s="17"/>
      <c r="E17" s="18"/>
      <c r="F17" s="18"/>
      <c r="G17" s="17"/>
      <c r="H17" s="16"/>
      <c r="I17" s="17"/>
      <c r="J17" s="16"/>
      <c r="K17" s="16"/>
      <c r="L17" s="17"/>
      <c r="M17" s="17"/>
      <c r="N17" s="16"/>
      <c r="O17" s="16"/>
      <c r="P17" s="16"/>
      <c r="Q17" s="18"/>
      <c r="R17" s="16"/>
      <c r="S17" s="16"/>
    </row>
    <row r="18" customFormat="false" ht="24" hidden="false" customHeight="true" outlineLevel="0" collapsed="false">
      <c r="A18" s="6" t="n">
        <v>14</v>
      </c>
      <c r="B18" s="16"/>
      <c r="C18" s="16"/>
      <c r="D18" s="17"/>
      <c r="E18" s="18"/>
      <c r="F18" s="18"/>
      <c r="G18" s="17"/>
      <c r="H18" s="16"/>
      <c r="I18" s="17"/>
      <c r="J18" s="16"/>
      <c r="K18" s="16"/>
      <c r="L18" s="17"/>
      <c r="M18" s="17"/>
      <c r="N18" s="16"/>
      <c r="O18" s="16"/>
      <c r="P18" s="16"/>
      <c r="Q18" s="18"/>
      <c r="R18" s="16"/>
      <c r="S18" s="16"/>
    </row>
    <row r="19" customFormat="false" ht="24" hidden="false" customHeight="true" outlineLevel="0" collapsed="false">
      <c r="A19" s="6" t="n">
        <v>15</v>
      </c>
      <c r="B19" s="16"/>
      <c r="C19" s="16"/>
      <c r="D19" s="17"/>
      <c r="E19" s="18"/>
      <c r="F19" s="18"/>
      <c r="G19" s="17"/>
      <c r="H19" s="16"/>
      <c r="I19" s="17"/>
      <c r="J19" s="16"/>
      <c r="K19" s="16"/>
      <c r="L19" s="17"/>
      <c r="M19" s="17"/>
      <c r="N19" s="16"/>
      <c r="O19" s="16"/>
      <c r="P19" s="16"/>
      <c r="Q19" s="18"/>
      <c r="R19" s="16"/>
      <c r="S19" s="16"/>
    </row>
    <row r="20" customFormat="false" ht="24" hidden="false" customHeight="true" outlineLevel="0" collapsed="false">
      <c r="A20" s="6" t="n">
        <v>16</v>
      </c>
      <c r="B20" s="16"/>
      <c r="C20" s="16"/>
      <c r="D20" s="17"/>
      <c r="E20" s="18"/>
      <c r="F20" s="18"/>
      <c r="G20" s="17"/>
      <c r="H20" s="16"/>
      <c r="I20" s="17"/>
      <c r="J20" s="16"/>
      <c r="K20" s="16"/>
      <c r="L20" s="17"/>
      <c r="M20" s="17"/>
      <c r="N20" s="16"/>
      <c r="O20" s="16"/>
      <c r="P20" s="16"/>
      <c r="Q20" s="18"/>
      <c r="R20" s="16"/>
      <c r="S20" s="16"/>
    </row>
    <row r="21" customFormat="false" ht="24" hidden="false" customHeight="true" outlineLevel="0" collapsed="false">
      <c r="A21" s="6" t="n">
        <v>17</v>
      </c>
      <c r="B21" s="16"/>
      <c r="C21" s="16"/>
      <c r="D21" s="17"/>
      <c r="E21" s="18"/>
      <c r="F21" s="18"/>
      <c r="G21" s="17"/>
      <c r="H21" s="16"/>
      <c r="I21" s="17"/>
      <c r="J21" s="16"/>
      <c r="K21" s="16"/>
      <c r="L21" s="17"/>
      <c r="M21" s="17"/>
      <c r="N21" s="16"/>
      <c r="O21" s="16"/>
      <c r="P21" s="16"/>
      <c r="Q21" s="18"/>
      <c r="R21" s="16"/>
      <c r="S21" s="16"/>
    </row>
    <row r="22" customFormat="false" ht="24" hidden="false" customHeight="true" outlineLevel="0" collapsed="false">
      <c r="A22" s="6" t="n">
        <v>18</v>
      </c>
      <c r="B22" s="16"/>
      <c r="C22" s="16"/>
      <c r="D22" s="17"/>
      <c r="E22" s="18"/>
      <c r="F22" s="18"/>
      <c r="G22" s="17"/>
      <c r="H22" s="16"/>
      <c r="I22" s="17"/>
      <c r="J22" s="16"/>
      <c r="K22" s="16"/>
      <c r="L22" s="17"/>
      <c r="M22" s="17"/>
      <c r="N22" s="16"/>
      <c r="O22" s="16"/>
      <c r="P22" s="16"/>
      <c r="Q22" s="18"/>
      <c r="R22" s="16"/>
      <c r="S22" s="16"/>
    </row>
    <row r="23" customFormat="false" ht="24" hidden="false" customHeight="true" outlineLevel="0" collapsed="false">
      <c r="A23" s="6" t="n">
        <v>19</v>
      </c>
      <c r="B23" s="16"/>
      <c r="C23" s="16"/>
      <c r="D23" s="17"/>
      <c r="E23" s="18"/>
      <c r="F23" s="18"/>
      <c r="G23" s="17"/>
      <c r="H23" s="16"/>
      <c r="I23" s="17"/>
      <c r="J23" s="16"/>
      <c r="K23" s="16"/>
      <c r="L23" s="17"/>
      <c r="M23" s="17"/>
      <c r="N23" s="16"/>
      <c r="O23" s="16"/>
      <c r="P23" s="16"/>
      <c r="Q23" s="18"/>
      <c r="R23" s="16"/>
      <c r="S23" s="16"/>
    </row>
    <row r="24" customFormat="false" ht="24" hidden="false" customHeight="true" outlineLevel="0" collapsed="false">
      <c r="A24" s="6" t="n">
        <v>20</v>
      </c>
      <c r="B24" s="16"/>
      <c r="C24" s="16"/>
      <c r="D24" s="17"/>
      <c r="E24" s="18"/>
      <c r="F24" s="18"/>
      <c r="G24" s="17"/>
      <c r="H24" s="16"/>
      <c r="I24" s="17"/>
      <c r="J24" s="16"/>
      <c r="K24" s="16"/>
      <c r="L24" s="17"/>
      <c r="M24" s="17"/>
      <c r="N24" s="16"/>
      <c r="O24" s="16"/>
      <c r="P24" s="16"/>
      <c r="Q24" s="18"/>
      <c r="R24" s="16"/>
      <c r="S24" s="16"/>
    </row>
  </sheetData>
  <mergeCells count="2">
    <mergeCell ref="A1:S1"/>
    <mergeCell ref="A2:S2"/>
  </mergeCells>
  <dataValidations count="6">
    <dataValidation allowBlank="true" errorStyle="stop" operator="between" showDropDown="false" showErrorMessage="false" showInputMessage="false" sqref="D4:D204" type="list">
      <formula1>"保守,クラウド,リース,SaaS,派遣,その他"</formula1>
      <formula2>0</formula2>
    </dataValidation>
    <dataValidation allowBlank="true" errorStyle="stop" operator="between" showDropDown="false" showErrorMessage="true" showInputMessage="false" sqref="G4:G204" type="list">
      <formula1>"あり,なし"</formula1>
      <formula2>0</formula2>
    </dataValidation>
    <dataValidation allowBlank="true" errorStyle="stop" operator="between" showDropDown="false" showErrorMessage="true" showInputMessage="false" sqref="I4:I204" type="list">
      <formula1>"あり,なし"</formula1>
      <formula2>0</formula2>
    </dataValidation>
    <dataValidation allowBlank="true" errorStyle="stop" operator="between" showDropDown="false" showErrorMessage="false" showInputMessage="false" sqref="J4:J204" type="list">
      <formula1>"VPN,専用線,リモートデスクトップ,クラウド経由,なし,その他"</formula1>
      <formula2>0</formula2>
    </dataValidation>
    <dataValidation allowBlank="true" errorStyle="stop" operator="between" showDropDown="false" showErrorMessage="false" showInputMessage="false" sqref="L4:L204" type="list">
      <formula1>"あり,なし,契約書で確認中"</formula1>
      <formula2>0</formula2>
    </dataValidation>
    <dataValidation allowBlank="true" errorStyle="stop" operator="between" showDropDown="false" showErrorMessage="false" showInputMessage="false" sqref="M4:M204" type="list">
      <formula1>"なし,あり（承諾済）,あり（未確認）"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11" min="5" style="0" width="12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15" min="15" style="0" width="30"/>
  </cols>
  <sheetData>
    <row r="1" customFormat="false" ht="25.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0" hidden="false" customHeight="true" outlineLevel="0" collapsed="false">
      <c r="A2" s="8" t="s">
        <v>83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9.5" hidden="false" customHeight="true" outlineLevel="0" collapsed="false">
      <c r="A3" s="5" t="s">
        <v>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false" ht="19.5" hidden="false" customHeight="true" outlineLevel="0" collapsed="false">
      <c r="A4" s="2" t="s">
        <v>85</v>
      </c>
      <c r="B4" s="2"/>
      <c r="C4" s="2"/>
      <c r="D4" s="19" t="n">
        <f aca="false">COUNTA(台帳!$B$5:$B$204)</f>
        <v>0</v>
      </c>
      <c r="F4" s="2" t="s">
        <v>86</v>
      </c>
      <c r="G4" s="2"/>
      <c r="H4" s="2"/>
      <c r="I4" s="20"/>
      <c r="J4" s="20"/>
      <c r="K4" s="20"/>
    </row>
    <row r="5" customFormat="false" ht="19.5" hidden="false" customHeight="true" outlineLevel="0" collapsed="false">
      <c r="A5" s="2" t="s">
        <v>87</v>
      </c>
      <c r="B5" s="2"/>
      <c r="C5" s="2"/>
      <c r="D5" s="19" t="n">
        <f aca="false">COUNTIF(台帳!$I$5:$I$204,"あり")</f>
        <v>0</v>
      </c>
      <c r="F5" s="2" t="s">
        <v>88</v>
      </c>
      <c r="G5" s="2"/>
      <c r="H5" s="2"/>
      <c r="I5" s="16"/>
      <c r="J5" s="16"/>
      <c r="K5" s="16"/>
    </row>
    <row r="6" customFormat="false" ht="19.5" hidden="false" customHeight="true" outlineLevel="0" collapsed="false">
      <c r="A6" s="21" t="s">
        <v>89</v>
      </c>
      <c r="B6" s="21"/>
      <c r="C6" s="21"/>
      <c r="D6" s="19" t="n">
        <f aca="true">COUNTIF(台帳!$F$5:$F$204,"&lt;="&amp;TODAY()+90)</f>
        <v>0</v>
      </c>
      <c r="F6" s="2" t="s">
        <v>90</v>
      </c>
      <c r="G6" s="2"/>
      <c r="H6" s="2"/>
      <c r="I6" s="19" t="n">
        <f aca="false">COUNTIF(L12:L211,"要是正")</f>
        <v>0</v>
      </c>
      <c r="J6" s="19"/>
      <c r="K6" s="19"/>
    </row>
    <row r="7" customFormat="false" ht="19.5" hidden="false" customHeight="true" outlineLevel="0" collapsed="false">
      <c r="A7" s="2" t="s">
        <v>91</v>
      </c>
      <c r="B7" s="2"/>
      <c r="C7" s="2"/>
      <c r="D7" s="19" t="n">
        <f aca="true">COUNTIF(台帳!$F$5:$F$204,"&lt;"&amp;TODAY())</f>
        <v>0</v>
      </c>
      <c r="F7" s="2" t="s">
        <v>92</v>
      </c>
      <c r="G7" s="2"/>
      <c r="H7" s="2"/>
      <c r="I7" s="19" t="n">
        <f aca="false">COUNTIF(L12:L211,"完了")</f>
        <v>0</v>
      </c>
      <c r="J7" s="19"/>
      <c r="K7" s="19"/>
    </row>
    <row r="8" customFormat="false" ht="19.5" hidden="false" customHeight="true" outlineLevel="0" collapsed="false">
      <c r="A8" s="2" t="s">
        <v>93</v>
      </c>
      <c r="B8" s="2"/>
      <c r="C8" s="2"/>
      <c r="D8" s="19" t="n">
        <f aca="false">COUNTIF(台帳!$G$5:$G$204,"あり")</f>
        <v>0</v>
      </c>
      <c r="F8" s="2" t="s">
        <v>94</v>
      </c>
      <c r="G8" s="2"/>
      <c r="H8" s="2"/>
      <c r="I8" s="19" t="n">
        <f aca="false">COUNTIF(L12:L211,"確認中")</f>
        <v>0</v>
      </c>
      <c r="J8" s="19"/>
      <c r="K8" s="19"/>
    </row>
    <row r="10" customFormat="false" ht="78" hidden="false" customHeight="true" outlineLevel="0" collapsed="false">
      <c r="A10" s="9" t="s">
        <v>49</v>
      </c>
      <c r="B10" s="10" t="s">
        <v>95</v>
      </c>
      <c r="C10" s="10" t="s">
        <v>96</v>
      </c>
      <c r="D10" s="10" t="s">
        <v>97</v>
      </c>
      <c r="E10" s="10" t="s">
        <v>98</v>
      </c>
      <c r="F10" s="10" t="s">
        <v>99</v>
      </c>
      <c r="G10" s="10" t="s">
        <v>100</v>
      </c>
      <c r="H10" s="10" t="s">
        <v>101</v>
      </c>
      <c r="I10" s="10" t="s">
        <v>102</v>
      </c>
      <c r="J10" s="10" t="s">
        <v>103</v>
      </c>
      <c r="K10" s="9" t="s">
        <v>104</v>
      </c>
      <c r="L10" s="10" t="s">
        <v>105</v>
      </c>
      <c r="M10" s="10" t="s">
        <v>106</v>
      </c>
      <c r="N10" s="10" t="s">
        <v>66</v>
      </c>
      <c r="O10" s="10" t="s">
        <v>107</v>
      </c>
    </row>
    <row r="11" customFormat="false" ht="45.75" hidden="false" customHeight="true" outlineLevel="0" collapsed="false">
      <c r="A11" s="22" t="str">
        <f aca="false">台帳!A4</f>
        <v>例</v>
      </c>
      <c r="B11" s="23" t="str">
        <f aca="false">IF(台帳!B4="","",台帳!B4)</f>
        <v>（例）〇〇システム株式会社</v>
      </c>
      <c r="C11" s="24" t="n">
        <f aca="false">IF(台帳!F4="","",台帳!F4)</f>
        <v>46477</v>
      </c>
      <c r="D11" s="19" t="n">
        <f aca="true">IF(台帳!F4="","",台帳!F4-TODAY())</f>
        <v>185</v>
      </c>
      <c r="E11" s="25" t="s">
        <v>108</v>
      </c>
      <c r="F11" s="25" t="s">
        <v>108</v>
      </c>
      <c r="G11" s="25" t="s">
        <v>108</v>
      </c>
      <c r="H11" s="25" t="s">
        <v>108</v>
      </c>
      <c r="I11" s="25" t="s">
        <v>108</v>
      </c>
      <c r="J11" s="25" t="s">
        <v>109</v>
      </c>
      <c r="K11" s="26" t="s">
        <v>110</v>
      </c>
      <c r="L11" s="22" t="str">
        <f aca="false">IF(B11="","",IF(COUNTIF(E11:K11,"×")&gt;0,"要是正",IF(COUNTA(E11:K11)=7,"完了","確認中")))</f>
        <v>要是正</v>
      </c>
      <c r="M11" s="27" t="n">
        <v>46188</v>
      </c>
      <c r="N11" s="28" t="s">
        <v>80</v>
      </c>
      <c r="O11" s="12" t="s">
        <v>111</v>
      </c>
    </row>
    <row r="12" customFormat="false" ht="24" hidden="false" customHeight="true" outlineLevel="0" collapsed="false">
      <c r="A12" s="22" t="n">
        <f aca="false">台帳!A5</f>
        <v>1</v>
      </c>
      <c r="B12" s="23" t="str">
        <f aca="false">IF(台帳!B5="","",台帳!B5)</f>
        <v/>
      </c>
      <c r="C12" s="24" t="str">
        <f aca="false">IF(台帳!F5="","",台帳!F5)</f>
        <v/>
      </c>
      <c r="D12" s="19" t="str">
        <f aca="true">IF(台帳!F5="","",台帳!F5-TODAY())</f>
        <v/>
      </c>
      <c r="E12" s="29"/>
      <c r="F12" s="29"/>
      <c r="G12" s="29"/>
      <c r="H12" s="29"/>
      <c r="I12" s="29"/>
      <c r="J12" s="29"/>
      <c r="K12" s="29"/>
      <c r="L12" s="22" t="str">
        <f aca="false">IF(B12="","",IF(COUNTIF(E12:K12,"×")&gt;0,"要是正",IF(COUNTA(E12:K12)=7,"完了","確認中")))</f>
        <v/>
      </c>
      <c r="M12" s="18"/>
      <c r="N12" s="16"/>
      <c r="O12" s="7"/>
    </row>
    <row r="13" customFormat="false" ht="24" hidden="false" customHeight="true" outlineLevel="0" collapsed="false">
      <c r="A13" s="22" t="n">
        <f aca="false">台帳!A6</f>
        <v>2</v>
      </c>
      <c r="B13" s="23" t="str">
        <f aca="false">IF(台帳!B6="","",台帳!B6)</f>
        <v/>
      </c>
      <c r="C13" s="24" t="str">
        <f aca="false">IF(台帳!F6="","",台帳!F6)</f>
        <v/>
      </c>
      <c r="D13" s="19" t="str">
        <f aca="true">IF(台帳!F6="","",台帳!F6-TODAY())</f>
        <v/>
      </c>
      <c r="E13" s="29"/>
      <c r="F13" s="29"/>
      <c r="G13" s="29"/>
      <c r="H13" s="29"/>
      <c r="I13" s="29"/>
      <c r="J13" s="29"/>
      <c r="K13" s="29"/>
      <c r="L13" s="22" t="str">
        <f aca="false">IF(B13="","",IF(COUNTIF(E13:K13,"×")&gt;0,"要是正",IF(COUNTA(E13:K13)=7,"完了","確認中")))</f>
        <v/>
      </c>
      <c r="M13" s="18"/>
      <c r="N13" s="16"/>
      <c r="O13" s="7"/>
    </row>
    <row r="14" customFormat="false" ht="24" hidden="false" customHeight="true" outlineLevel="0" collapsed="false">
      <c r="A14" s="22" t="n">
        <f aca="false">台帳!A7</f>
        <v>3</v>
      </c>
      <c r="B14" s="23" t="str">
        <f aca="false">IF(台帳!B7="","",台帳!B7)</f>
        <v/>
      </c>
      <c r="C14" s="24" t="str">
        <f aca="false">IF(台帳!F7="","",台帳!F7)</f>
        <v/>
      </c>
      <c r="D14" s="19" t="str">
        <f aca="true">IF(台帳!F7="","",台帳!F7-TODAY())</f>
        <v/>
      </c>
      <c r="E14" s="29"/>
      <c r="F14" s="29"/>
      <c r="G14" s="29"/>
      <c r="H14" s="29"/>
      <c r="I14" s="29"/>
      <c r="J14" s="29"/>
      <c r="K14" s="29"/>
      <c r="L14" s="22" t="str">
        <f aca="false">IF(B14="","",IF(COUNTIF(E14:K14,"×")&gt;0,"要是正",IF(COUNTA(E14:K14)=7,"完了","確認中")))</f>
        <v/>
      </c>
      <c r="M14" s="18"/>
      <c r="N14" s="16"/>
      <c r="O14" s="7"/>
    </row>
    <row r="15" customFormat="false" ht="24" hidden="false" customHeight="true" outlineLevel="0" collapsed="false">
      <c r="A15" s="22" t="n">
        <f aca="false">台帳!A8</f>
        <v>4</v>
      </c>
      <c r="B15" s="23" t="str">
        <f aca="false">IF(台帳!B8="","",台帳!B8)</f>
        <v/>
      </c>
      <c r="C15" s="24" t="str">
        <f aca="false">IF(台帳!F8="","",台帳!F8)</f>
        <v/>
      </c>
      <c r="D15" s="19" t="str">
        <f aca="true">IF(台帳!F8="","",台帳!F8-TODAY())</f>
        <v/>
      </c>
      <c r="E15" s="29"/>
      <c r="F15" s="29"/>
      <c r="G15" s="29"/>
      <c r="H15" s="29"/>
      <c r="I15" s="29"/>
      <c r="J15" s="29"/>
      <c r="K15" s="29"/>
      <c r="L15" s="22" t="str">
        <f aca="false">IF(B15="","",IF(COUNTIF(E15:K15,"×")&gt;0,"要是正",IF(COUNTA(E15:K15)=7,"完了","確認中")))</f>
        <v/>
      </c>
      <c r="M15" s="18"/>
      <c r="N15" s="16"/>
      <c r="O15" s="7"/>
    </row>
    <row r="16" customFormat="false" ht="24" hidden="false" customHeight="true" outlineLevel="0" collapsed="false">
      <c r="A16" s="22" t="n">
        <f aca="false">台帳!A9</f>
        <v>5</v>
      </c>
      <c r="B16" s="23" t="str">
        <f aca="false">IF(台帳!B9="","",台帳!B9)</f>
        <v/>
      </c>
      <c r="C16" s="24" t="str">
        <f aca="false">IF(台帳!F9="","",台帳!F9)</f>
        <v/>
      </c>
      <c r="D16" s="19" t="str">
        <f aca="true">IF(台帳!F9="","",台帳!F9-TODAY())</f>
        <v/>
      </c>
      <c r="E16" s="29"/>
      <c r="F16" s="29"/>
      <c r="G16" s="29"/>
      <c r="H16" s="29"/>
      <c r="I16" s="29"/>
      <c r="J16" s="29"/>
      <c r="K16" s="29"/>
      <c r="L16" s="22" t="str">
        <f aca="false">IF(B16="","",IF(COUNTIF(E16:K16,"×")&gt;0,"要是正",IF(COUNTA(E16:K16)=7,"完了","確認中")))</f>
        <v/>
      </c>
      <c r="M16" s="18"/>
      <c r="N16" s="16"/>
      <c r="O16" s="7"/>
    </row>
    <row r="17" customFormat="false" ht="24" hidden="false" customHeight="true" outlineLevel="0" collapsed="false">
      <c r="A17" s="22" t="n">
        <f aca="false">台帳!A10</f>
        <v>6</v>
      </c>
      <c r="B17" s="23" t="str">
        <f aca="false">IF(台帳!B10="","",台帳!B10)</f>
        <v/>
      </c>
      <c r="C17" s="24" t="str">
        <f aca="false">IF(台帳!F10="","",台帳!F10)</f>
        <v/>
      </c>
      <c r="D17" s="19" t="str">
        <f aca="true">IF(台帳!F10="","",台帳!F10-TODAY())</f>
        <v/>
      </c>
      <c r="E17" s="29"/>
      <c r="F17" s="29"/>
      <c r="G17" s="29"/>
      <c r="H17" s="29"/>
      <c r="I17" s="29"/>
      <c r="J17" s="29"/>
      <c r="K17" s="29"/>
      <c r="L17" s="22" t="str">
        <f aca="false">IF(B17="","",IF(COUNTIF(E17:K17,"×")&gt;0,"要是正",IF(COUNTA(E17:K17)=7,"完了","確認中")))</f>
        <v/>
      </c>
      <c r="M17" s="18"/>
      <c r="N17" s="16"/>
      <c r="O17" s="7"/>
    </row>
    <row r="18" customFormat="false" ht="24" hidden="false" customHeight="true" outlineLevel="0" collapsed="false">
      <c r="A18" s="22" t="n">
        <f aca="false">台帳!A11</f>
        <v>7</v>
      </c>
      <c r="B18" s="23" t="str">
        <f aca="false">IF(台帳!B11="","",台帳!B11)</f>
        <v/>
      </c>
      <c r="C18" s="24" t="str">
        <f aca="false">IF(台帳!F11="","",台帳!F11)</f>
        <v/>
      </c>
      <c r="D18" s="19" t="str">
        <f aca="true">IF(台帳!F11="","",台帳!F11-TODAY())</f>
        <v/>
      </c>
      <c r="E18" s="29"/>
      <c r="F18" s="29"/>
      <c r="G18" s="29"/>
      <c r="H18" s="29"/>
      <c r="I18" s="29"/>
      <c r="J18" s="29"/>
      <c r="K18" s="29"/>
      <c r="L18" s="22" t="str">
        <f aca="false">IF(B18="","",IF(COUNTIF(E18:K18,"×")&gt;0,"要是正",IF(COUNTA(E18:K18)=7,"完了","確認中")))</f>
        <v/>
      </c>
      <c r="M18" s="18"/>
      <c r="N18" s="16"/>
      <c r="O18" s="7"/>
    </row>
    <row r="19" customFormat="false" ht="24" hidden="false" customHeight="true" outlineLevel="0" collapsed="false">
      <c r="A19" s="22" t="n">
        <f aca="false">台帳!A12</f>
        <v>8</v>
      </c>
      <c r="B19" s="23" t="str">
        <f aca="false">IF(台帳!B12="","",台帳!B12)</f>
        <v/>
      </c>
      <c r="C19" s="24" t="str">
        <f aca="false">IF(台帳!F12="","",台帳!F12)</f>
        <v/>
      </c>
      <c r="D19" s="19" t="str">
        <f aca="true">IF(台帳!F12="","",台帳!F12-TODAY())</f>
        <v/>
      </c>
      <c r="E19" s="29"/>
      <c r="F19" s="29"/>
      <c r="G19" s="29"/>
      <c r="H19" s="29"/>
      <c r="I19" s="29"/>
      <c r="J19" s="29"/>
      <c r="K19" s="29"/>
      <c r="L19" s="22" t="str">
        <f aca="false">IF(B19="","",IF(COUNTIF(E19:K19,"×")&gt;0,"要是正",IF(COUNTA(E19:K19)=7,"完了","確認中")))</f>
        <v/>
      </c>
      <c r="M19" s="18"/>
      <c r="N19" s="16"/>
      <c r="O19" s="7"/>
    </row>
    <row r="20" customFormat="false" ht="24" hidden="false" customHeight="true" outlineLevel="0" collapsed="false">
      <c r="A20" s="22" t="n">
        <f aca="false">台帳!A13</f>
        <v>9</v>
      </c>
      <c r="B20" s="23" t="str">
        <f aca="false">IF(台帳!B13="","",台帳!B13)</f>
        <v/>
      </c>
      <c r="C20" s="24" t="str">
        <f aca="false">IF(台帳!F13="","",台帳!F13)</f>
        <v/>
      </c>
      <c r="D20" s="19" t="str">
        <f aca="true">IF(台帳!F13="","",台帳!F13-TODAY())</f>
        <v/>
      </c>
      <c r="E20" s="29"/>
      <c r="F20" s="29"/>
      <c r="G20" s="29"/>
      <c r="H20" s="29"/>
      <c r="I20" s="29"/>
      <c r="J20" s="29"/>
      <c r="K20" s="29"/>
      <c r="L20" s="22" t="str">
        <f aca="false">IF(B20="","",IF(COUNTIF(E20:K20,"×")&gt;0,"要是正",IF(COUNTA(E20:K20)=7,"完了","確認中")))</f>
        <v/>
      </c>
      <c r="M20" s="18"/>
      <c r="N20" s="16"/>
      <c r="O20" s="7"/>
    </row>
    <row r="21" customFormat="false" ht="24" hidden="false" customHeight="true" outlineLevel="0" collapsed="false">
      <c r="A21" s="22" t="n">
        <f aca="false">台帳!A14</f>
        <v>10</v>
      </c>
      <c r="B21" s="23" t="str">
        <f aca="false">IF(台帳!B14="","",台帳!B14)</f>
        <v/>
      </c>
      <c r="C21" s="24" t="str">
        <f aca="false">IF(台帳!F14="","",台帳!F14)</f>
        <v/>
      </c>
      <c r="D21" s="19" t="str">
        <f aca="true">IF(台帳!F14="","",台帳!F14-TODAY())</f>
        <v/>
      </c>
      <c r="E21" s="29"/>
      <c r="F21" s="29"/>
      <c r="G21" s="29"/>
      <c r="H21" s="29"/>
      <c r="I21" s="29"/>
      <c r="J21" s="29"/>
      <c r="K21" s="29"/>
      <c r="L21" s="22" t="str">
        <f aca="false">IF(B21="","",IF(COUNTIF(E21:K21,"×")&gt;0,"要是正",IF(COUNTA(E21:K21)=7,"完了","確認中")))</f>
        <v/>
      </c>
      <c r="M21" s="18"/>
      <c r="N21" s="16"/>
      <c r="O21" s="7"/>
    </row>
    <row r="22" customFormat="false" ht="24" hidden="false" customHeight="true" outlineLevel="0" collapsed="false">
      <c r="A22" s="22" t="n">
        <f aca="false">台帳!A15</f>
        <v>11</v>
      </c>
      <c r="B22" s="23" t="str">
        <f aca="false">IF(台帳!B15="","",台帳!B15)</f>
        <v/>
      </c>
      <c r="C22" s="24" t="str">
        <f aca="false">IF(台帳!F15="","",台帳!F15)</f>
        <v/>
      </c>
      <c r="D22" s="19" t="str">
        <f aca="true">IF(台帳!F15="","",台帳!F15-TODAY())</f>
        <v/>
      </c>
      <c r="E22" s="29"/>
      <c r="F22" s="29"/>
      <c r="G22" s="29"/>
      <c r="H22" s="29"/>
      <c r="I22" s="29"/>
      <c r="J22" s="29"/>
      <c r="K22" s="29"/>
      <c r="L22" s="22" t="str">
        <f aca="false">IF(B22="","",IF(COUNTIF(E22:K22,"×")&gt;0,"要是正",IF(COUNTA(E22:K22)=7,"完了","確認中")))</f>
        <v/>
      </c>
      <c r="M22" s="18"/>
      <c r="N22" s="16"/>
      <c r="O22" s="7"/>
    </row>
    <row r="23" customFormat="false" ht="24" hidden="false" customHeight="true" outlineLevel="0" collapsed="false">
      <c r="A23" s="22" t="n">
        <f aca="false">台帳!A16</f>
        <v>12</v>
      </c>
      <c r="B23" s="23" t="str">
        <f aca="false">IF(台帳!B16="","",台帳!B16)</f>
        <v/>
      </c>
      <c r="C23" s="24" t="str">
        <f aca="false">IF(台帳!F16="","",台帳!F16)</f>
        <v/>
      </c>
      <c r="D23" s="19" t="str">
        <f aca="true">IF(台帳!F16="","",台帳!F16-TODAY())</f>
        <v/>
      </c>
      <c r="E23" s="29"/>
      <c r="F23" s="29"/>
      <c r="G23" s="29"/>
      <c r="H23" s="29"/>
      <c r="I23" s="29"/>
      <c r="J23" s="29"/>
      <c r="K23" s="29"/>
      <c r="L23" s="22" t="str">
        <f aca="false">IF(B23="","",IF(COUNTIF(E23:K23,"×")&gt;0,"要是正",IF(COUNTA(E23:K23)=7,"完了","確認中")))</f>
        <v/>
      </c>
      <c r="M23" s="18"/>
      <c r="N23" s="16"/>
      <c r="O23" s="7"/>
    </row>
    <row r="24" customFormat="false" ht="24" hidden="false" customHeight="true" outlineLevel="0" collapsed="false">
      <c r="A24" s="22" t="n">
        <f aca="false">台帳!A17</f>
        <v>13</v>
      </c>
      <c r="B24" s="23" t="str">
        <f aca="false">IF(台帳!B17="","",台帳!B17)</f>
        <v/>
      </c>
      <c r="C24" s="24" t="str">
        <f aca="false">IF(台帳!F17="","",台帳!F17)</f>
        <v/>
      </c>
      <c r="D24" s="19" t="str">
        <f aca="true">IF(台帳!F17="","",台帳!F17-TODAY())</f>
        <v/>
      </c>
      <c r="E24" s="29"/>
      <c r="F24" s="29"/>
      <c r="G24" s="29"/>
      <c r="H24" s="29"/>
      <c r="I24" s="29"/>
      <c r="J24" s="29"/>
      <c r="K24" s="29"/>
      <c r="L24" s="22" t="str">
        <f aca="false">IF(B24="","",IF(COUNTIF(E24:K24,"×")&gt;0,"要是正",IF(COUNTA(E24:K24)=7,"完了","確認中")))</f>
        <v/>
      </c>
      <c r="M24" s="18"/>
      <c r="N24" s="16"/>
      <c r="O24" s="7"/>
    </row>
    <row r="25" customFormat="false" ht="24" hidden="false" customHeight="true" outlineLevel="0" collapsed="false">
      <c r="A25" s="22" t="n">
        <f aca="false">台帳!A18</f>
        <v>14</v>
      </c>
      <c r="B25" s="23" t="str">
        <f aca="false">IF(台帳!B18="","",台帳!B18)</f>
        <v/>
      </c>
      <c r="C25" s="24" t="str">
        <f aca="false">IF(台帳!F18="","",台帳!F18)</f>
        <v/>
      </c>
      <c r="D25" s="19" t="str">
        <f aca="true">IF(台帳!F18="","",台帳!F18-TODAY())</f>
        <v/>
      </c>
      <c r="E25" s="29"/>
      <c r="F25" s="29"/>
      <c r="G25" s="29"/>
      <c r="H25" s="29"/>
      <c r="I25" s="29"/>
      <c r="J25" s="29"/>
      <c r="K25" s="29"/>
      <c r="L25" s="22" t="str">
        <f aca="false">IF(B25="","",IF(COUNTIF(E25:K25,"×")&gt;0,"要是正",IF(COUNTA(E25:K25)=7,"完了","確認中")))</f>
        <v/>
      </c>
      <c r="M25" s="18"/>
      <c r="N25" s="16"/>
      <c r="O25" s="7"/>
    </row>
    <row r="26" customFormat="false" ht="24" hidden="false" customHeight="true" outlineLevel="0" collapsed="false">
      <c r="A26" s="22" t="n">
        <f aca="false">台帳!A19</f>
        <v>15</v>
      </c>
      <c r="B26" s="23" t="str">
        <f aca="false">IF(台帳!B19="","",台帳!B19)</f>
        <v/>
      </c>
      <c r="C26" s="24" t="str">
        <f aca="false">IF(台帳!F19="","",台帳!F19)</f>
        <v/>
      </c>
      <c r="D26" s="19" t="str">
        <f aca="true">IF(台帳!F19="","",台帳!F19-TODAY())</f>
        <v/>
      </c>
      <c r="E26" s="29"/>
      <c r="F26" s="29"/>
      <c r="G26" s="29"/>
      <c r="H26" s="29"/>
      <c r="I26" s="29"/>
      <c r="J26" s="29"/>
      <c r="K26" s="29"/>
      <c r="L26" s="22" t="str">
        <f aca="false">IF(B26="","",IF(COUNTIF(E26:K26,"×")&gt;0,"要是正",IF(COUNTA(E26:K26)=7,"完了","確認中")))</f>
        <v/>
      </c>
      <c r="M26" s="18"/>
      <c r="N26" s="16"/>
      <c r="O26" s="7"/>
    </row>
    <row r="27" customFormat="false" ht="24" hidden="false" customHeight="true" outlineLevel="0" collapsed="false">
      <c r="A27" s="22" t="n">
        <f aca="false">台帳!A20</f>
        <v>16</v>
      </c>
      <c r="B27" s="23" t="str">
        <f aca="false">IF(台帳!B20="","",台帳!B20)</f>
        <v/>
      </c>
      <c r="C27" s="24" t="str">
        <f aca="false">IF(台帳!F20="","",台帳!F20)</f>
        <v/>
      </c>
      <c r="D27" s="19" t="str">
        <f aca="true">IF(台帳!F20="","",台帳!F20-TODAY())</f>
        <v/>
      </c>
      <c r="E27" s="29"/>
      <c r="F27" s="29"/>
      <c r="G27" s="29"/>
      <c r="H27" s="29"/>
      <c r="I27" s="29"/>
      <c r="J27" s="29"/>
      <c r="K27" s="29"/>
      <c r="L27" s="22" t="str">
        <f aca="false">IF(B27="","",IF(COUNTIF(E27:K27,"×")&gt;0,"要是正",IF(COUNTA(E27:K27)=7,"完了","確認中")))</f>
        <v/>
      </c>
      <c r="M27" s="18"/>
      <c r="N27" s="16"/>
      <c r="O27" s="7"/>
    </row>
    <row r="28" customFormat="false" ht="24" hidden="false" customHeight="true" outlineLevel="0" collapsed="false">
      <c r="A28" s="22" t="n">
        <f aca="false">台帳!A21</f>
        <v>17</v>
      </c>
      <c r="B28" s="23" t="str">
        <f aca="false">IF(台帳!B21="","",台帳!B21)</f>
        <v/>
      </c>
      <c r="C28" s="24" t="str">
        <f aca="false">IF(台帳!F21="","",台帳!F21)</f>
        <v/>
      </c>
      <c r="D28" s="19" t="str">
        <f aca="true">IF(台帳!F21="","",台帳!F21-TODAY())</f>
        <v/>
      </c>
      <c r="E28" s="29"/>
      <c r="F28" s="29"/>
      <c r="G28" s="29"/>
      <c r="H28" s="29"/>
      <c r="I28" s="29"/>
      <c r="J28" s="29"/>
      <c r="K28" s="29"/>
      <c r="L28" s="22" t="str">
        <f aca="false">IF(B28="","",IF(COUNTIF(E28:K28,"×")&gt;0,"要是正",IF(COUNTA(E28:K28)=7,"完了","確認中")))</f>
        <v/>
      </c>
      <c r="M28" s="18"/>
      <c r="N28" s="16"/>
      <c r="O28" s="7"/>
    </row>
    <row r="29" customFormat="false" ht="24" hidden="false" customHeight="true" outlineLevel="0" collapsed="false">
      <c r="A29" s="22" t="n">
        <f aca="false">台帳!A22</f>
        <v>18</v>
      </c>
      <c r="B29" s="23" t="str">
        <f aca="false">IF(台帳!B22="","",台帳!B22)</f>
        <v/>
      </c>
      <c r="C29" s="24" t="str">
        <f aca="false">IF(台帳!F22="","",台帳!F22)</f>
        <v/>
      </c>
      <c r="D29" s="19" t="str">
        <f aca="true">IF(台帳!F22="","",台帳!F22-TODAY())</f>
        <v/>
      </c>
      <c r="E29" s="29"/>
      <c r="F29" s="29"/>
      <c r="G29" s="29"/>
      <c r="H29" s="29"/>
      <c r="I29" s="29"/>
      <c r="J29" s="29"/>
      <c r="K29" s="29"/>
      <c r="L29" s="22" t="str">
        <f aca="false">IF(B29="","",IF(COUNTIF(E29:K29,"×")&gt;0,"要是正",IF(COUNTA(E29:K29)=7,"完了","確認中")))</f>
        <v/>
      </c>
      <c r="M29" s="18"/>
      <c r="N29" s="16"/>
      <c r="O29" s="7"/>
    </row>
    <row r="30" customFormat="false" ht="24" hidden="false" customHeight="true" outlineLevel="0" collapsed="false">
      <c r="A30" s="22" t="n">
        <f aca="false">台帳!A23</f>
        <v>19</v>
      </c>
      <c r="B30" s="23" t="str">
        <f aca="false">IF(台帳!B23="","",台帳!B23)</f>
        <v/>
      </c>
      <c r="C30" s="24" t="str">
        <f aca="false">IF(台帳!F23="","",台帳!F23)</f>
        <v/>
      </c>
      <c r="D30" s="19" t="str">
        <f aca="true">IF(台帳!F23="","",台帳!F23-TODAY())</f>
        <v/>
      </c>
      <c r="E30" s="29"/>
      <c r="F30" s="29"/>
      <c r="G30" s="29"/>
      <c r="H30" s="29"/>
      <c r="I30" s="29"/>
      <c r="J30" s="29"/>
      <c r="K30" s="29"/>
      <c r="L30" s="22" t="str">
        <f aca="false">IF(B30="","",IF(COUNTIF(E30:K30,"×")&gt;0,"要是正",IF(COUNTA(E30:K30)=7,"完了","確認中")))</f>
        <v/>
      </c>
      <c r="M30" s="18"/>
      <c r="N30" s="16"/>
      <c r="O30" s="7"/>
    </row>
    <row r="31" customFormat="false" ht="24" hidden="false" customHeight="true" outlineLevel="0" collapsed="false">
      <c r="A31" s="22" t="n">
        <f aca="false">台帳!A24</f>
        <v>20</v>
      </c>
      <c r="B31" s="23" t="str">
        <f aca="false">IF(台帳!B24="","",台帳!B24)</f>
        <v/>
      </c>
      <c r="C31" s="24" t="str">
        <f aca="false">IF(台帳!F24="","",台帳!F24)</f>
        <v/>
      </c>
      <c r="D31" s="19" t="str">
        <f aca="true">IF(台帳!F24="","",台帳!F24-TODAY())</f>
        <v/>
      </c>
      <c r="E31" s="29"/>
      <c r="F31" s="29"/>
      <c r="G31" s="29"/>
      <c r="H31" s="29"/>
      <c r="I31" s="29"/>
      <c r="J31" s="29"/>
      <c r="K31" s="29"/>
      <c r="L31" s="22" t="str">
        <f aca="false">IF(B31="","",IF(COUNTIF(E31:K31,"×")&gt;0,"要是正",IF(COUNTA(E31:K31)=7,"完了","確認中")))</f>
        <v/>
      </c>
      <c r="M31" s="18"/>
      <c r="N31" s="16"/>
      <c r="O31" s="7"/>
    </row>
    <row r="33" customFormat="false" ht="30" hidden="false" customHeight="true" outlineLevel="0" collapsed="false">
      <c r="A33" s="8" t="s">
        <v>112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</sheetData>
  <mergeCells count="19">
    <mergeCell ref="A1:O1"/>
    <mergeCell ref="A2:O2"/>
    <mergeCell ref="A3:O3"/>
    <mergeCell ref="A4:C4"/>
    <mergeCell ref="F4:H4"/>
    <mergeCell ref="I4:K4"/>
    <mergeCell ref="A5:C5"/>
    <mergeCell ref="F5:H5"/>
    <mergeCell ref="I5:K5"/>
    <mergeCell ref="A6:C6"/>
    <mergeCell ref="F6:H6"/>
    <mergeCell ref="I6:K6"/>
    <mergeCell ref="A7:C7"/>
    <mergeCell ref="F7:H7"/>
    <mergeCell ref="I7:K7"/>
    <mergeCell ref="A8:C8"/>
    <mergeCell ref="F8:H8"/>
    <mergeCell ref="I8:K8"/>
    <mergeCell ref="A33:O33"/>
  </mergeCells>
  <dataValidations count="1">
    <dataValidation allowBlank="true" errorStyle="stop" operator="between" showDropDown="false" showErrorMessage="true" showInputMessage="false" sqref="E11:K211" type="list">
      <formula1>"○,×,－"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43</v>
      </c>
      <c r="B1" s="1"/>
      <c r="C1" s="1"/>
      <c r="D1" s="1"/>
    </row>
    <row r="3" customFormat="false" ht="19.5" hidden="false" customHeight="true" outlineLevel="0" collapsed="false">
      <c r="A3" s="5" t="s">
        <v>113</v>
      </c>
      <c r="B3" s="5"/>
      <c r="C3" s="5"/>
      <c r="D3" s="5"/>
    </row>
    <row r="4" customFormat="false" ht="19.5" hidden="false" customHeight="true" outlineLevel="0" collapsed="false">
      <c r="A4" s="9" t="s">
        <v>49</v>
      </c>
      <c r="B4" s="10" t="s">
        <v>5</v>
      </c>
      <c r="C4" s="10" t="s">
        <v>114</v>
      </c>
      <c r="D4" s="10" t="s">
        <v>115</v>
      </c>
    </row>
    <row r="5" customFormat="false" ht="19.5" hidden="false" customHeight="true" outlineLevel="0" collapsed="false">
      <c r="A5" s="30" t="n">
        <v>1</v>
      </c>
      <c r="B5" s="4" t="s">
        <v>6</v>
      </c>
      <c r="C5" s="4" t="s">
        <v>8</v>
      </c>
      <c r="D5" s="3" t="s">
        <v>116</v>
      </c>
    </row>
    <row r="6" customFormat="false" ht="19.5" hidden="false" customHeight="true" outlineLevel="0" collapsed="false">
      <c r="A6" s="30"/>
      <c r="B6" s="7"/>
      <c r="C6" s="7"/>
      <c r="D6" s="7"/>
    </row>
    <row r="7" customFormat="false" ht="19.5" hidden="false" customHeight="true" outlineLevel="0" collapsed="false">
      <c r="A7" s="30"/>
      <c r="B7" s="7"/>
      <c r="C7" s="7"/>
      <c r="D7" s="7"/>
    </row>
    <row r="8" customFormat="false" ht="19.5" hidden="false" customHeight="true" outlineLevel="0" collapsed="false">
      <c r="A8" s="30"/>
      <c r="B8" s="7"/>
      <c r="C8" s="7"/>
      <c r="D8" s="7"/>
    </row>
    <row r="10" customFormat="false" ht="19.5" hidden="false" customHeight="true" outlineLevel="0" collapsed="false">
      <c r="A10" s="5" t="s">
        <v>117</v>
      </c>
      <c r="B10" s="5"/>
      <c r="C10" s="5"/>
      <c r="D10" s="5"/>
    </row>
    <row r="11" customFormat="false" ht="19.5" hidden="false" customHeight="true" outlineLevel="0" collapsed="false">
      <c r="A11" s="9" t="s">
        <v>49</v>
      </c>
      <c r="B11" s="10" t="s">
        <v>118</v>
      </c>
      <c r="C11" s="10" t="s">
        <v>119</v>
      </c>
      <c r="D11" s="9" t="s">
        <v>120</v>
      </c>
    </row>
    <row r="12" customFormat="false" ht="31.5" hidden="false" customHeight="true" outlineLevel="0" collapsed="false">
      <c r="A12" s="30" t="n">
        <v>1</v>
      </c>
      <c r="B12" s="3" t="s">
        <v>121</v>
      </c>
      <c r="C12" s="3" t="s">
        <v>122</v>
      </c>
      <c r="D12" s="3" t="s">
        <v>123</v>
      </c>
    </row>
    <row r="13" customFormat="false" ht="45.75" hidden="false" customHeight="true" outlineLevel="0" collapsed="false">
      <c r="A13" s="30" t="n">
        <v>2</v>
      </c>
      <c r="B13" s="3" t="s">
        <v>124</v>
      </c>
      <c r="C13" s="3" t="s">
        <v>122</v>
      </c>
      <c r="D13" s="3" t="s">
        <v>125</v>
      </c>
    </row>
    <row r="14" customFormat="false" ht="31.5" hidden="false" customHeight="true" outlineLevel="0" collapsed="false">
      <c r="A14" s="30" t="n">
        <v>3</v>
      </c>
      <c r="B14" s="3" t="s">
        <v>126</v>
      </c>
      <c r="C14" s="3" t="s">
        <v>127</v>
      </c>
      <c r="D14" s="31" t="s">
        <v>128</v>
      </c>
    </row>
    <row r="15" customFormat="false" ht="45.75" hidden="false" customHeight="true" outlineLevel="0" collapsed="false">
      <c r="A15" s="30" t="n">
        <v>4</v>
      </c>
      <c r="B15" s="3" t="s">
        <v>129</v>
      </c>
      <c r="C15" s="3" t="s">
        <v>130</v>
      </c>
      <c r="D15" s="3" t="s">
        <v>131</v>
      </c>
    </row>
    <row r="16" customFormat="false" ht="31.5" hidden="false" customHeight="true" outlineLevel="0" collapsed="false">
      <c r="A16" s="30" t="n">
        <v>5</v>
      </c>
      <c r="B16" s="3" t="s">
        <v>132</v>
      </c>
      <c r="C16" s="3" t="s">
        <v>133</v>
      </c>
      <c r="D16" s="3" t="s">
        <v>131</v>
      </c>
    </row>
    <row r="18" customFormat="false" ht="19.5" hidden="false" customHeight="true" outlineLevel="0" collapsed="false">
      <c r="A18" s="5" t="s">
        <v>134</v>
      </c>
      <c r="B18" s="5"/>
      <c r="C18" s="5"/>
      <c r="D18" s="5"/>
    </row>
    <row r="19" customFormat="false" ht="48" hidden="false" customHeight="true" outlineLevel="0" collapsed="false">
      <c r="A19" s="32" t="s">
        <v>135</v>
      </c>
      <c r="B19" s="32"/>
      <c r="C19" s="32"/>
      <c r="D19" s="32"/>
    </row>
  </sheetData>
  <mergeCells count="5">
    <mergeCell ref="A1:D1"/>
    <mergeCell ref="A3:D3"/>
    <mergeCell ref="A10:D10"/>
    <mergeCell ref="A18:D18"/>
    <mergeCell ref="A19:D19"/>
  </mergeCells>
  <hyperlinks>
    <hyperlink ref="D14" r:id="rId1" display="https://www.mhlw.go.jp/stf/seisakunitsuite/bunya/kenkou_iryou/iryou/johoka/cyber-security.html"/>
  </hyperlink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&amp;P / &amp;N&amp;R&amp;8 MediKoto 現場の様式 v1.0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2026-09-27T06:33:13Z</dcterms:created>
  <dc:creator>openpyxl</dc:creator>
  <dc:description/>
  <dc:language>en-US</dc:language>
  <cp:lastModifiedBy/>
  <dcterms:modified xsi:type="dcterms:W3CDTF">2026-09-27T06:33:14Z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