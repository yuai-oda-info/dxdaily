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申請前チェック" sheetId="2" state="visible" r:id="rId4"/>
    <sheet name="試算" sheetId="3" state="visible" r:id="rId5"/>
    <sheet name="版と根拠" sheetId="4" state="visible" r:id="rId6"/>
  </sheets>
  <definedNames>
    <definedName function="false" hidden="false" localSheetId="0" name="_xlnm.Print_Titles" vbProcedure="false">使い方!$1:$1</definedName>
    <definedName function="false" hidden="false" localSheetId="3" name="_xlnm.Print_Titles" vbProcedure="false">版と根拠!$1:$1</definedName>
    <definedName function="false" hidden="false" localSheetId="1" name="_xlnm.Print_Titles" vbProcedure="false">申請前チェック!$1:$5</definedName>
    <definedName function="false" hidden="false" localSheetId="2" name="_xlnm.Print_Titles" vbProcedure="false">試算!$1:$4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<sst xmlns="http://schemas.openxmlformats.org/spreadsheetml/2006/main" count="188" uniqueCount="150">
  <si>
    <t xml:space="preserve">補助金申請前の確認リスト　—　使い方</t>
  </si>
  <si>
    <t xml:space="preserve">様式名</t>
  </si>
  <si>
    <t xml:space="preserve">補助金申請前の確認リスト</t>
  </si>
  <si>
    <t xml:space="preserve">ファイル名</t>
  </si>
  <si>
    <t xml:space="preserve">subsidy-precheck-v1.0.xlsx</t>
  </si>
  <si>
    <t xml:space="preserve">版</t>
  </si>
  <si>
    <t xml:space="preserve">v1.0</t>
  </si>
  <si>
    <t xml:space="preserve">作成</t>
  </si>
  <si>
    <t xml:space="preserve">2026-09</t>
  </si>
  <si>
    <t xml:space="preserve">作成者</t>
  </si>
  <si>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（メディコト）　医療・介護</t>
    </r>
    <r>
      <rPr>
        <sz val="10"/>
        <rFont val="Yu Gothic"/>
        <family val="0"/>
        <charset val="1"/>
      </rPr>
      <t xml:space="preserve">DX</t>
    </r>
    <r>
      <rPr>
        <sz val="10"/>
        <rFont val="Yu Gothic"/>
        <family val="2"/>
      </rPr>
      <t xml:space="preserve">デイリー「現場の様式」</t>
    </r>
  </si>
  <si>
    <t xml:space="preserve">対象</t>
  </si>
  <si>
    <t xml:space="preserve">事務長・経理・補助金申請の担当者</t>
  </si>
  <si>
    <t xml:space="preserve">使う場面</t>
  </si>
  <si>
    <r>
      <rPr>
        <sz val="10"/>
        <rFont val="Yu Gothic"/>
        <family val="2"/>
      </rPr>
      <t xml:space="preserve">補助金の申請に着手する前（見積依頼はよいが、発注・契約・支払いの前）。公募要領を読みながら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項目ずつ確認する</t>
    </r>
  </si>
  <si>
    <t xml:space="preserve">根拠資料</t>
  </si>
  <si>
    <r>
      <rPr>
        <sz val="10"/>
        <rFont val="Yu Gothic"/>
        <family val="2"/>
      </rPr>
      <t xml:space="preserve">・各補助金の公募要領・交付要綱・</t>
    </r>
    <r>
      <rPr>
        <sz val="10"/>
        <rFont val="Yu Gothic"/>
        <family val="0"/>
        <charset val="1"/>
      </rPr>
      <t xml:space="preserve">Q&amp;A</t>
    </r>
    <r>
      <rPr>
        <sz val="10"/>
        <rFont val="Yu Gothic"/>
        <family val="2"/>
      </rPr>
      <t xml:space="preserve">（申請する補助金ごとに最新版を確認）
・補助金等に係る予算の執行の適正化に関する法律（補助金適正化法）と同法施行令
・</t>
    </r>
    <r>
      <rPr>
        <sz val="10"/>
        <rFont val="Yu Gothic"/>
        <family val="0"/>
        <charset val="1"/>
      </rPr>
      <t xml:space="preserve">jGrants</t>
    </r>
    <r>
      <rPr>
        <sz val="10"/>
        <rFont val="Yu Gothic"/>
        <family val="2"/>
      </rPr>
      <t xml:space="preserve">（補助金申請システム）・</t>
    </r>
    <r>
      <rPr>
        <sz val="10"/>
        <rFont val="Yu Gothic"/>
        <family val="0"/>
        <charset val="1"/>
      </rPr>
      <t xml:space="preserve">gBizID </t>
    </r>
    <r>
      <rPr>
        <sz val="10"/>
        <rFont val="Yu Gothic"/>
        <family val="2"/>
      </rPr>
      <t xml:space="preserve">の利用案内（デジタル庁）</t>
    </r>
  </si>
  <si>
    <t xml:space="preserve">使い方</t>
  </si>
  <si>
    <t xml:space="preserve">1</t>
  </si>
  <si>
    <t xml:space="preserve">このファイルは一般的なひな形です。自施設の体制・規程・契約に合わせて項目名・担当・文言を書き換えて使ってください（行の追加・削除は自由です）。</t>
  </si>
  <si>
    <t xml:space="preserve">2</t>
  </si>
  <si>
    <t xml:space="preserve">薄い黄色のセルが入力欄です。右の見本と同じ色のセルに記入します。</t>
  </si>
  <si>
    <t xml:space="preserve">入力欄の見本</t>
  </si>
  <si>
    <r>
      <rPr>
        <sz val="10"/>
        <rFont val="Yu Gothic"/>
        <family val="2"/>
      </rPr>
      <t xml:space="preserve">← この色のセルに入力します（薄い黄色 </t>
    </r>
    <r>
      <rPr>
        <sz val="10"/>
        <rFont val="Yu Gothic"/>
        <family val="0"/>
        <charset val="1"/>
      </rPr>
      <t xml:space="preserve">FFF9E0</t>
    </r>
    <r>
      <rPr>
        <sz val="10"/>
        <rFont val="Yu Gothic"/>
        <family val="2"/>
      </rPr>
      <t xml:space="preserve">）</t>
    </r>
  </si>
  <si>
    <t xml:space="preserve">3</t>
  </si>
  <si>
    <t xml:space="preserve">薄い緑のセルは自動計算（数式）です。通常は編集不要です。</t>
  </si>
  <si>
    <t xml:space="preserve">4</t>
  </si>
  <si>
    <t xml:space="preserve">「（例）」と書かれたグレー文字の行は記入例です。実際に使うときは削除するか、上書きしてください。</t>
  </si>
  <si>
    <t xml:space="preserve">5</t>
  </si>
  <si>
    <r>
      <rPr>
        <sz val="10"/>
        <rFont val="Yu Gothic"/>
        <family val="2"/>
      </rPr>
      <t xml:space="preserve">各シートは </t>
    </r>
    <r>
      <rPr>
        <sz val="10"/>
        <rFont val="Yu Gothic"/>
        <family val="0"/>
        <charset val="1"/>
      </rPr>
      <t xml:space="preserve">A4 </t>
    </r>
    <r>
      <rPr>
        <sz val="10"/>
        <rFont val="Yu Gothic"/>
        <family val="2"/>
      </rPr>
      <t xml:space="preserve">で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ページ幅に収まるよう印刷設定済みです（見出し行は各ページに繰り返し印刷されます）。</t>
    </r>
  </si>
  <si>
    <t xml:space="preserve">6</t>
  </si>
  <si>
    <t xml:space="preserve">個人情報や連絡先を記入したファイルの保管・共有・廃棄は、自施設の情報管理規程に従ってください。</t>
  </si>
  <si>
    <t xml:space="preserve">7</t>
  </si>
  <si>
    <t xml:space="preserve">一番の落とし穴は「交付決定前の発注・契約・支払い」です。原則として補助対象外になります（事前着手届が認められる補助金もあるので公募要領で確認）。</t>
  </si>
  <si>
    <t xml:space="preserve">8</t>
  </si>
  <si>
    <t xml:space="preserve">確認項目は一般的な公募要領の共通事項をもとにしています。申請する補助金の要領に合わせて、項目を追加・削除してください。</t>
  </si>
  <si>
    <t xml:space="preserve">9</t>
  </si>
  <si>
    <t xml:space="preserve">「根拠・メモ」には公募要領のページ番号や事務局への問合せ結果（日付・回答者）を書いておくと、採択後の実績報告で役立ちます。</t>
  </si>
  <si>
    <t xml:space="preserve">シート構成</t>
  </si>
  <si>
    <t xml:space="preserve">申請前チェック</t>
  </si>
  <si>
    <r>
      <rPr>
        <sz val="10"/>
        <rFont val="Yu Gothic"/>
        <family val="2"/>
      </rPr>
      <t xml:space="preserve">公募要領／対象者要件／対象経費／スケジュール／申請準備／採択後の義務の </t>
    </r>
    <r>
      <rPr>
        <sz val="10"/>
        <rFont val="Yu Gothic"/>
        <family val="0"/>
        <charset val="1"/>
      </rPr>
      <t xml:space="preserve">6 </t>
    </r>
    <r>
      <rPr>
        <sz val="10"/>
        <rFont val="Yu Gothic"/>
        <family val="2"/>
      </rPr>
      <t xml:space="preserve">区分・</t>
    </r>
    <r>
      <rPr>
        <sz val="10"/>
        <rFont val="Yu Gothic"/>
        <family val="0"/>
        <charset val="1"/>
      </rPr>
      <t xml:space="preserve">26 </t>
    </r>
    <r>
      <rPr>
        <sz val="10"/>
        <rFont val="Yu Gothic"/>
        <family val="2"/>
      </rPr>
      <t xml:space="preserve">項目。確認結果（済・未・該当なし）を選ぶと上部に集計と着手可否が表示される。</t>
    </r>
  </si>
  <si>
    <t xml:space="preserve">試算</t>
  </si>
  <si>
    <r>
      <rPr>
        <sz val="10"/>
        <rFont val="Yu Gothic"/>
        <family val="2"/>
      </rPr>
      <t xml:space="preserve">補助対象経費・補助率・上限額を入れると、補助見込額（</t>
    </r>
    <r>
      <rPr>
        <sz val="10"/>
        <rFont val="Yu Gothic"/>
        <family val="0"/>
        <charset val="1"/>
      </rPr>
      <t xml:space="preserve">=MIN(</t>
    </r>
    <r>
      <rPr>
        <sz val="10"/>
        <rFont val="Yu Gothic"/>
        <family val="2"/>
      </rPr>
      <t xml:space="preserve">経費</t>
    </r>
    <r>
      <rPr>
        <sz val="10"/>
        <rFont val="Yu Gothic"/>
        <family val="0"/>
        <charset val="1"/>
      </rPr>
      <t xml:space="preserve">×</t>
    </r>
    <r>
      <rPr>
        <sz val="10"/>
        <rFont val="Yu Gothic"/>
        <family val="2"/>
      </rPr>
      <t xml:space="preserve">率</t>
    </r>
    <r>
      <rPr>
        <sz val="10"/>
        <rFont val="Yu Gothic"/>
        <family val="0"/>
        <charset val="1"/>
      </rPr>
      <t xml:space="preserve">, </t>
    </r>
    <r>
      <rPr>
        <sz val="10"/>
        <rFont val="Yu Gothic"/>
        <family val="2"/>
      </rPr>
      <t xml:space="preserve">上限</t>
    </r>
    <r>
      <rPr>
        <sz val="10"/>
        <rFont val="Yu Gothic"/>
        <family val="0"/>
        <charset val="1"/>
      </rPr>
      <t xml:space="preserve">)</t>
    </r>
    <r>
      <rPr>
        <sz val="10"/>
        <rFont val="Yu Gothic"/>
        <family val="2"/>
      </rPr>
      <t xml:space="preserve">）と自己負担額を自動計算する。</t>
    </r>
  </si>
  <si>
    <t xml:space="preserve">版と根拠</t>
  </si>
  <si>
    <t xml:space="preserve">版の履歴と根拠資料。</t>
  </si>
  <si>
    <t xml:space="preserve">ご注意</t>
  </si>
  <si>
    <t xml:space="preserve">免責</t>
  </si>
  <si>
    <t xml:space="preserve">本様式は公開資料をもとに作成した参考例であり、法令・ガイドライン・公募要領の解釈を保証するものではありません。最新の一次資料（厚生労働省・各省庁・都道府県・事務局の公表資料）を必ず確認し、自施設の責任でご利用ください。</t>
  </si>
  <si>
    <t xml:space="preserve">補助金申請前の確認リスト（発注前に確認）</t>
  </si>
  <si>
    <t xml:space="preserve">補助金の名称</t>
  </si>
  <si>
    <t xml:space="preserve">公募締切</t>
  </si>
  <si>
    <t xml:space="preserve">担当</t>
  </si>
  <si>
    <t xml:space="preserve">確認状況</t>
  </si>
  <si>
    <t xml:space="preserve">着手可否</t>
  </si>
  <si>
    <t xml:space="preserve">※ 確認結果はプルダウンから「済」「未」「該当なし」を選ぶ。すべて「済」または「該当なし」になると「申請着手可」と表示される。期限は確認の期限（申請締切から逆算）。</t>
  </si>
  <si>
    <t xml:space="preserve">No</t>
  </si>
  <si>
    <t xml:space="preserve">区分</t>
  </si>
  <si>
    <t xml:space="preserve">確認項目</t>
  </si>
  <si>
    <t xml:space="preserve">確認結果</t>
  </si>
  <si>
    <t xml:space="preserve">期限</t>
  </si>
  <si>
    <t xml:space="preserve">根拠・メモ（要領のページ・問合せ結果など）</t>
  </si>
  <si>
    <t xml:space="preserve">例</t>
  </si>
  <si>
    <t xml:space="preserve">（例）公募要領</t>
  </si>
  <si>
    <t xml:space="preserve">（例）公募要領の最新版を入手した</t>
  </si>
  <si>
    <t xml:space="preserve">済</t>
  </si>
  <si>
    <t xml:space="preserve">事務長</t>
  </si>
  <si>
    <r>
      <rPr>
        <sz val="10"/>
        <color rgb="FF7F7F7F"/>
        <rFont val="Yu Gothic"/>
        <family val="2"/>
      </rPr>
      <t xml:space="preserve">〇〇補助金 公募要領 第</t>
    </r>
    <r>
      <rPr>
        <sz val="10"/>
        <color rgb="FF7F7F7F"/>
        <rFont val="Yu Gothic"/>
        <family val="0"/>
        <charset val="1"/>
      </rPr>
      <t xml:space="preserve">2</t>
    </r>
    <r>
      <rPr>
        <sz val="10"/>
        <color rgb="FF7F7F7F"/>
        <rFont val="Yu Gothic"/>
        <family val="2"/>
      </rPr>
      <t xml:space="preserve">版（</t>
    </r>
    <r>
      <rPr>
        <sz val="10"/>
        <color rgb="FF7F7F7F"/>
        <rFont val="Yu Gothic"/>
        <family val="0"/>
        <charset val="1"/>
      </rPr>
      <t xml:space="preserve">2026/9/1</t>
    </r>
    <r>
      <rPr>
        <sz val="10"/>
        <color rgb="FF7F7F7F"/>
        <rFont val="Yu Gothic"/>
        <family val="2"/>
      </rPr>
      <t xml:space="preserve">）</t>
    </r>
    <r>
      <rPr>
        <sz val="10"/>
        <color rgb="FF7F7F7F"/>
        <rFont val="Yu Gothic"/>
        <family val="0"/>
        <charset val="1"/>
      </rPr>
      <t xml:space="preserve">p.3</t>
    </r>
    <r>
      <rPr>
        <sz val="10"/>
        <color rgb="FF7F7F7F"/>
        <rFont val="Yu Gothic"/>
        <family val="2"/>
      </rPr>
      <t xml:space="preserve">。</t>
    </r>
    <r>
      <rPr>
        <sz val="10"/>
        <color rgb="FF7F7F7F"/>
        <rFont val="Yu Gothic"/>
        <family val="0"/>
        <charset val="1"/>
      </rPr>
      <t xml:space="preserve">Q&amp;A </t>
    </r>
    <r>
      <rPr>
        <sz val="10"/>
        <color rgb="FF7F7F7F"/>
        <rFont val="Yu Gothic"/>
        <family val="2"/>
      </rPr>
      <t xml:space="preserve">は </t>
    </r>
    <r>
      <rPr>
        <sz val="10"/>
        <color rgb="FF7F7F7F"/>
        <rFont val="Yu Gothic"/>
        <family val="0"/>
        <charset val="1"/>
      </rPr>
      <t xml:space="preserve">9/10 </t>
    </r>
    <r>
      <rPr>
        <sz val="10"/>
        <color rgb="FF7F7F7F"/>
        <rFont val="Yu Gothic"/>
        <family val="2"/>
      </rPr>
      <t xml:space="preserve">版を確認</t>
    </r>
  </si>
  <si>
    <t xml:space="preserve">公募要領</t>
  </si>
  <si>
    <t xml:space="preserve">公募要領・交付要綱の最新版を入手し、公募期間（締切日時・電子申請の受付終了時刻）を確認した</t>
  </si>
  <si>
    <r>
      <rPr>
        <sz val="10"/>
        <rFont val="Yu Gothic"/>
        <family val="2"/>
      </rPr>
      <t xml:space="preserve">公募要領の </t>
    </r>
    <r>
      <rPr>
        <sz val="10"/>
        <rFont val="Yu Gothic"/>
        <family val="0"/>
        <charset val="1"/>
      </rPr>
      <t xml:space="preserve">Q&amp;A</t>
    </r>
    <r>
      <rPr>
        <sz val="10"/>
        <rFont val="Yu Gothic"/>
        <family val="2"/>
      </rPr>
      <t xml:space="preserve">・変更履歴（訂正・追加）を確認した</t>
    </r>
  </si>
  <si>
    <t xml:space="preserve">事務局の問合せ窓口・問合せ期限を確認し、不明点は文書（メール）で確認して記録を残した</t>
  </si>
  <si>
    <t xml:space="preserve">対象者要件</t>
  </si>
  <si>
    <t xml:space="preserve">自施設が補助対象者に含まれる（法人種別・病床数や職員数などの規模・所在地域・開設者区分）</t>
  </si>
  <si>
    <t xml:space="preserve">公的機関（国・自治体・独立行政法人・公立病院など）に該当して除外されないか確認した（都道府県事業で除外される場合がある）</t>
  </si>
  <si>
    <t xml:space="preserve">不交付事由（税の滞納、暴力団排除条項、過去の不正受給など）に該当しない</t>
  </si>
  <si>
    <t xml:space="preserve">対象経費</t>
  </si>
  <si>
    <t xml:space="preserve">導入したい機器・システムが対象経費（設備費・システム構築費・クラウド利用料・導入支援費など）に含まれる</t>
  </si>
  <si>
    <r>
      <rPr>
        <sz val="10"/>
        <rFont val="Yu Gothic"/>
        <family val="2"/>
      </rPr>
      <t xml:space="preserve">対象外経費（消費税、汎用 </t>
    </r>
    <r>
      <rPr>
        <sz val="10"/>
        <rFont val="Yu Gothic"/>
        <family val="0"/>
        <charset val="1"/>
      </rPr>
      <t xml:space="preserve">PC</t>
    </r>
    <r>
      <rPr>
        <sz val="10"/>
        <rFont val="Yu Gothic"/>
        <family val="2"/>
      </rPr>
      <t xml:space="preserve">・タブレット、保守料、既存契約の更新、人件費など）を把握し、見積書で分けた</t>
    </r>
  </si>
  <si>
    <t xml:space="preserve">交付決定前の発注・契約・支払いは対象外であることを確認した（事前着手届の可否と手続きも確認）</t>
  </si>
  <si>
    <t xml:space="preserve">見積書の取得要件（相見積の社数、金額の閾値、見積有効期限、内訳の記載）を確認し、複数社から取得する予定を立てた</t>
  </si>
  <si>
    <t xml:space="preserve">中古品・リース・自社製品・関連会社からの調達の取扱いを確認した</t>
  </si>
  <si>
    <t xml:space="preserve">スケジュール</t>
  </si>
  <si>
    <t xml:space="preserve">事業実施期間内に納品・検収・支払い（振込）まで完了できる（ベンダーの納期を確認した）</t>
  </si>
  <si>
    <t xml:space="preserve">申請から交付決定までの期間を見込んだ導入計画になっている（交付決定を待たずに着手しない）</t>
  </si>
  <si>
    <t xml:space="preserve">実績報告の提出期限と補助金の入金時期（精算払い）を確認し、立替資金の資金繰りを検討した</t>
  </si>
  <si>
    <t xml:space="preserve">申請準備</t>
  </si>
  <si>
    <t xml:space="preserve">補助率と上限額を確認し、自己負担額を試算した（「試算」シート）</t>
  </si>
  <si>
    <r>
      <rPr>
        <sz val="10"/>
        <rFont val="Yu Gothic"/>
        <family val="0"/>
        <charset val="1"/>
      </rPr>
      <t xml:space="preserve">gBizID </t>
    </r>
    <r>
      <rPr>
        <sz val="10"/>
        <rFont val="Yu Gothic"/>
        <family val="2"/>
      </rPr>
      <t xml:space="preserve">プライムを取得済み（未取得なら発行に </t>
    </r>
    <r>
      <rPr>
        <sz val="10"/>
        <rFont val="Yu Gothic"/>
        <family val="0"/>
        <charset val="1"/>
      </rPr>
      <t xml:space="preserve">2</t>
    </r>
    <r>
      <rPr>
        <sz val="10"/>
        <rFont val="Yu Gothic"/>
        <family val="2"/>
      </rPr>
      <t xml:space="preserve">〜</t>
    </r>
    <r>
      <rPr>
        <sz val="10"/>
        <rFont val="Yu Gothic"/>
        <family val="0"/>
        <charset val="1"/>
      </rPr>
      <t xml:space="preserve">3 </t>
    </r>
    <r>
      <rPr>
        <sz val="10"/>
        <rFont val="Yu Gothic"/>
        <family val="2"/>
      </rPr>
      <t xml:space="preserve">週間程度かかることを考慮して先に申請）</t>
    </r>
  </si>
  <si>
    <r>
      <rPr>
        <sz val="10"/>
        <rFont val="Yu Gothic"/>
        <family val="0"/>
        <charset val="1"/>
      </rPr>
      <t xml:space="preserve">jGrants </t>
    </r>
    <r>
      <rPr>
        <sz val="10"/>
        <rFont val="Yu Gothic"/>
        <family val="2"/>
      </rPr>
      <t xml:space="preserve">等の電子申請システムの操作方法・添付ファイルの形式と容量制限を確認した</t>
    </r>
  </si>
  <si>
    <t xml:space="preserve">必要書類（決算書・登記事項証明書・見積書・事業計画・納税証明書・誓約書など）の一覧を作り、取得にかかる日数を確認した</t>
  </si>
  <si>
    <t xml:space="preserve">事業計画（導入目的・効果の指標・スケジュール・体制）の内容を関係部署（診療・看護・医事など）と合意した</t>
  </si>
  <si>
    <t xml:space="preserve">理事会・院長など内部の決裁（稟議）を取得した</t>
  </si>
  <si>
    <r>
      <rPr>
        <sz val="10"/>
        <rFont val="Yu Gothic"/>
        <family val="2"/>
      </rPr>
      <t xml:space="preserve">他の補助金との重複申請・重複受給の禁止に該当しない（同じ経費に </t>
    </r>
    <r>
      <rPr>
        <sz val="10"/>
        <rFont val="Yu Gothic"/>
        <family val="0"/>
        <charset val="1"/>
      </rPr>
      <t xml:space="preserve">2 </t>
    </r>
    <r>
      <rPr>
        <sz val="10"/>
        <rFont val="Yu Gothic"/>
        <family val="2"/>
      </rPr>
      <t xml:space="preserve">つの補助金を充てない）</t>
    </r>
  </si>
  <si>
    <t xml:space="preserve">採択後の義務</t>
  </si>
  <si>
    <r>
      <rPr>
        <sz val="10"/>
        <rFont val="Yu Gothic"/>
        <family val="2"/>
      </rPr>
      <t xml:space="preserve">実績報告書と証拠書類（契約書・納品書・請求書・振込記録・写真・検収書）の保管期間（</t>
    </r>
    <r>
      <rPr>
        <sz val="10"/>
        <rFont val="Yu Gothic"/>
        <family val="0"/>
        <charset val="1"/>
      </rPr>
      <t xml:space="preserve">5 </t>
    </r>
    <r>
      <rPr>
        <sz val="10"/>
        <rFont val="Yu Gothic"/>
        <family val="2"/>
      </rPr>
      <t xml:space="preserve">年など）と保管方法を確認した</t>
    </r>
  </si>
  <si>
    <t xml:space="preserve">取得財産の処分制限（耐用年数の期間中は売却・廃棄・目的外使用に承認が必要）を確認し、固定資産台帳に補助金の記載欄を設けた</t>
  </si>
  <si>
    <t xml:space="preserve">収益納付の要否と、経費の区分経理（補助事業専用の帳簿・口座・勘定科目）を確認した</t>
  </si>
  <si>
    <t xml:space="preserve">事業成果の報告（効果測定・アンケート・事後調査）の義務と期間を確認した</t>
  </si>
  <si>
    <t xml:space="preserve">補助金適正化法上の義務（目的外使用の禁止、検査・調査への協力、不正時の返還と加算金）を担当者と管理者に周知した</t>
  </si>
  <si>
    <t xml:space="preserve">区分ごとの集計</t>
  </si>
  <si>
    <t xml:space="preserve">項目数</t>
  </si>
  <si>
    <t xml:space="preserve">未</t>
  </si>
  <si>
    <t xml:space="preserve">該当なし</t>
  </si>
  <si>
    <t xml:space="preserve">未記入</t>
  </si>
  <si>
    <t xml:space="preserve">補助金 試算（補助見込額・自己負担額）</t>
  </si>
  <si>
    <r>
      <rPr>
        <sz val="9"/>
        <color rgb="FF595959"/>
        <rFont val="Yu Gothic"/>
        <family val="2"/>
      </rPr>
      <t xml:space="preserve">※ 補助対象経費は税抜で入力（消費税・地方消費税は補助対象外が一般的）。補助率は小数で入力（</t>
    </r>
    <r>
      <rPr>
        <sz val="9"/>
        <color rgb="FF595959"/>
        <rFont val="Yu Gothic"/>
        <family val="0"/>
        <charset val="1"/>
      </rPr>
      <t xml:space="preserve">1/2 → 0.5</t>
    </r>
    <r>
      <rPr>
        <sz val="9"/>
        <color rgb="FF595959"/>
        <rFont val="Yu Gothic"/>
        <family val="2"/>
      </rPr>
      <t xml:space="preserve">、</t>
    </r>
    <r>
      <rPr>
        <sz val="9"/>
        <color rgb="FF595959"/>
        <rFont val="Yu Gothic"/>
        <family val="0"/>
        <charset val="1"/>
      </rPr>
      <t xml:space="preserve">2/3 → 0.6667</t>
    </r>
    <r>
      <rPr>
        <sz val="9"/>
        <color rgb="FF595959"/>
        <rFont val="Yu Gothic"/>
        <family val="2"/>
      </rPr>
      <t xml:space="preserve">、</t>
    </r>
    <r>
      <rPr>
        <sz val="9"/>
        <color rgb="FF595959"/>
        <rFont val="Yu Gothic"/>
        <family val="0"/>
        <charset val="1"/>
      </rPr>
      <t xml:space="preserve">3/4 → 0.75</t>
    </r>
    <r>
      <rPr>
        <sz val="9"/>
        <color rgb="FF595959"/>
        <rFont val="Yu Gothic"/>
        <family val="2"/>
      </rPr>
      <t xml:space="preserve">）。上限額がない場合は空欄。補助見込額 </t>
    </r>
    <r>
      <rPr>
        <sz val="9"/>
        <color rgb="FF595959"/>
        <rFont val="Yu Gothic"/>
        <family val="0"/>
        <charset val="1"/>
      </rPr>
      <t xml:space="preserve">= MIN(</t>
    </r>
    <r>
      <rPr>
        <sz val="9"/>
        <color rgb="FF595959"/>
        <rFont val="Yu Gothic"/>
        <family val="2"/>
      </rPr>
      <t xml:space="preserve">経費 </t>
    </r>
    <r>
      <rPr>
        <sz val="9"/>
        <color rgb="FF595959"/>
        <rFont val="Yu Gothic"/>
        <family val="0"/>
        <charset val="1"/>
      </rPr>
      <t xml:space="preserve">× </t>
    </r>
    <r>
      <rPr>
        <sz val="9"/>
        <color rgb="FF595959"/>
        <rFont val="Yu Gothic"/>
        <family val="2"/>
      </rPr>
      <t xml:space="preserve">率</t>
    </r>
    <r>
      <rPr>
        <sz val="9"/>
        <color rgb="FF595959"/>
        <rFont val="Yu Gothic"/>
        <family val="0"/>
        <charset val="1"/>
      </rPr>
      <t xml:space="preserve">, </t>
    </r>
    <r>
      <rPr>
        <sz val="9"/>
        <color rgb="FF595959"/>
        <rFont val="Yu Gothic"/>
        <family val="2"/>
      </rPr>
      <t xml:space="preserve">上限額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Yu Gothic"/>
        <family val="2"/>
      </rPr>
      <t xml:space="preserve">、自己負担額 </t>
    </r>
    <r>
      <rPr>
        <sz val="9"/>
        <color rgb="FF595959"/>
        <rFont val="Yu Gothic"/>
        <family val="0"/>
        <charset val="1"/>
      </rPr>
      <t xml:space="preserve">= </t>
    </r>
    <r>
      <rPr>
        <sz val="9"/>
        <color rgb="FF595959"/>
        <rFont val="Yu Gothic"/>
        <family val="2"/>
      </rPr>
      <t xml:space="preserve">経費 − 補助見込額。</t>
    </r>
  </si>
  <si>
    <t xml:space="preserve">項目（機器・システム名）</t>
  </si>
  <si>
    <t xml:space="preserve">補助対象経費（円・税抜）</t>
  </si>
  <si>
    <t xml:space="preserve">補助率（小数）</t>
  </si>
  <si>
    <t xml:space="preserve">上限額（円）</t>
  </si>
  <si>
    <t xml:space="preserve">補助見込額（円）</t>
  </si>
  <si>
    <t xml:space="preserve">自己負担額（円）</t>
  </si>
  <si>
    <t xml:space="preserve">メモ（見積番号・上限の根拠など）</t>
  </si>
  <si>
    <t xml:space="preserve">（例）電子カルテ更新（サーバ・端末）</t>
  </si>
  <si>
    <r>
      <rPr>
        <sz val="10"/>
        <color rgb="FF7F7F7F"/>
        <rFont val="Yu Gothic"/>
        <family val="2"/>
      </rPr>
      <t xml:space="preserve">（例）〇〇社見積 </t>
    </r>
    <r>
      <rPr>
        <sz val="10"/>
        <color rgb="FF7F7F7F"/>
        <rFont val="Yu Gothic"/>
        <family val="0"/>
        <charset val="1"/>
      </rPr>
      <t xml:space="preserve">Q-0001</t>
    </r>
    <r>
      <rPr>
        <sz val="10"/>
        <color rgb="FF7F7F7F"/>
        <rFont val="Yu Gothic"/>
        <family val="2"/>
      </rPr>
      <t xml:space="preserve">。上限額は公募要領 </t>
    </r>
    <r>
      <rPr>
        <sz val="10"/>
        <color rgb="FF7F7F7F"/>
        <rFont val="Yu Gothic"/>
        <family val="0"/>
        <charset val="1"/>
      </rPr>
      <t xml:space="preserve">p.5</t>
    </r>
  </si>
  <si>
    <t xml:space="preserve">合計（記入例を除く）</t>
  </si>
  <si>
    <t xml:space="preserve">自己負担の割合（合計）</t>
  </si>
  <si>
    <t xml:space="preserve">補助率の換算表と注意</t>
  </si>
  <si>
    <r>
      <rPr>
        <sz val="10"/>
        <rFont val="Yu Gothic"/>
        <family val="2"/>
      </rPr>
      <t xml:space="preserve">補助率 </t>
    </r>
    <r>
      <rPr>
        <sz val="10"/>
        <rFont val="Yu Gothic"/>
        <family val="0"/>
        <charset val="1"/>
      </rPr>
      <t xml:space="preserve">1/2</t>
    </r>
  </si>
  <si>
    <r>
      <rPr>
        <sz val="10"/>
        <rFont val="Yu Gothic"/>
        <family val="2"/>
      </rPr>
      <t xml:space="preserve">補助率 </t>
    </r>
    <r>
      <rPr>
        <sz val="10"/>
        <rFont val="Yu Gothic"/>
        <family val="0"/>
        <charset val="1"/>
      </rPr>
      <t xml:space="preserve">2/3</t>
    </r>
  </si>
  <si>
    <r>
      <rPr>
        <sz val="10"/>
        <rFont val="Yu Gothic"/>
        <family val="2"/>
      </rPr>
      <t xml:space="preserve">補助率 </t>
    </r>
    <r>
      <rPr>
        <sz val="10"/>
        <rFont val="Yu Gothic"/>
        <family val="0"/>
        <charset val="1"/>
      </rPr>
      <t xml:space="preserve">3/4</t>
    </r>
  </si>
  <si>
    <r>
      <rPr>
        <sz val="10"/>
        <rFont val="Yu Gothic"/>
        <family val="2"/>
      </rPr>
      <t xml:space="preserve">補助率 </t>
    </r>
    <r>
      <rPr>
        <sz val="10"/>
        <rFont val="Yu Gothic"/>
        <family val="0"/>
        <charset val="1"/>
      </rPr>
      <t xml:space="preserve">1/3</t>
    </r>
  </si>
  <si>
    <r>
      <rPr>
        <sz val="10"/>
        <rFont val="Yu Gothic"/>
        <family val="2"/>
      </rPr>
      <t xml:space="preserve">補助率 </t>
    </r>
    <r>
      <rPr>
        <sz val="10"/>
        <rFont val="Yu Gothic"/>
        <family val="0"/>
        <charset val="1"/>
      </rPr>
      <t xml:space="preserve">10/10</t>
    </r>
    <r>
      <rPr>
        <sz val="10"/>
        <rFont val="Yu Gothic"/>
        <family val="2"/>
      </rPr>
      <t xml:space="preserve">（定額）</t>
    </r>
  </si>
  <si>
    <t xml:space="preserve">・実際の補助額は交付決定・確定検査で確定します。千円未満切捨てなど端数処理は公募要領に従ってください。</t>
  </si>
  <si>
    <r>
      <rPr>
        <sz val="9"/>
        <color rgb="FF595959"/>
        <rFont val="Yu Gothic"/>
        <family val="2"/>
      </rPr>
      <t xml:space="preserve">・補助対象経費と対象外経費（消費税・汎用 </t>
    </r>
    <r>
      <rPr>
        <sz val="9"/>
        <color rgb="FF595959"/>
        <rFont val="Yu Gothic"/>
        <family val="0"/>
        <charset val="1"/>
      </rPr>
      <t xml:space="preserve">PC</t>
    </r>
    <r>
      <rPr>
        <sz val="9"/>
        <color rgb="FF595959"/>
        <rFont val="Yu Gothic"/>
        <family val="2"/>
      </rPr>
      <t xml:space="preserve">・保守料など）は見積書で分けておくと、申請・実績報告が楽になります。</t>
    </r>
  </si>
  <si>
    <t xml:space="preserve">・複数年度にまたがる場合、年度ごとの上限額・実施期間が別に定められることがあります。</t>
  </si>
  <si>
    <t xml:space="preserve">版の履歴</t>
  </si>
  <si>
    <t xml:space="preserve">日付</t>
  </si>
  <si>
    <t xml:space="preserve">変更点</t>
  </si>
  <si>
    <r>
      <rPr>
        <sz val="10"/>
        <rFont val="Yu Gothic"/>
        <family val="2"/>
      </rPr>
      <t xml:space="preserve">初版（</t>
    </r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「現場の様式」）</t>
    </r>
  </si>
  <si>
    <t xml:space="preserve">根拠資料（最新版は発行元サイトで確認してください）</t>
  </si>
  <si>
    <t xml:space="preserve">名称</t>
  </si>
  <si>
    <t xml:space="preserve">発行元</t>
  </si>
  <si>
    <r>
      <rPr>
        <b val="true"/>
        <sz val="10"/>
        <rFont val="Yu Gothic"/>
        <family val="0"/>
        <charset val="1"/>
      </rPr>
      <t xml:space="preserve">URL</t>
    </r>
    <r>
      <rPr>
        <b val="true"/>
        <sz val="10"/>
        <rFont val="Yu Gothic"/>
        <family val="2"/>
      </rPr>
      <t xml:space="preserve">・備考</t>
    </r>
  </si>
  <si>
    <r>
      <rPr>
        <sz val="10"/>
        <rFont val="Yu Gothic"/>
        <family val="2"/>
      </rPr>
      <t xml:space="preserve">補助金等に係る予算の執行の適正化に関する法律（昭和</t>
    </r>
    <r>
      <rPr>
        <sz val="10"/>
        <rFont val="Yu Gothic"/>
        <family val="0"/>
        <charset val="1"/>
      </rPr>
      <t xml:space="preserve">30</t>
    </r>
    <r>
      <rPr>
        <sz val="10"/>
        <rFont val="Yu Gothic"/>
        <family val="2"/>
      </rPr>
      <t xml:space="preserve">年法律第</t>
    </r>
    <r>
      <rPr>
        <sz val="10"/>
        <rFont val="Yu Gothic"/>
        <family val="0"/>
        <charset val="1"/>
      </rPr>
      <t xml:space="preserve">179</t>
    </r>
    <r>
      <rPr>
        <sz val="10"/>
        <rFont val="Yu Gothic"/>
        <family val="2"/>
      </rPr>
      <t xml:space="preserve">号）</t>
    </r>
  </si>
  <si>
    <r>
      <rPr>
        <sz val="10"/>
        <rFont val="Yu Gothic"/>
        <family val="0"/>
        <charset val="1"/>
      </rPr>
      <t xml:space="preserve">e-Gov </t>
    </r>
    <r>
      <rPr>
        <sz val="10"/>
        <rFont val="Yu Gothic"/>
        <family val="2"/>
      </rPr>
      <t xml:space="preserve">法令検索</t>
    </r>
  </si>
  <si>
    <t xml:space="preserve">https://laws.e-gov.go.jp/</t>
  </si>
  <si>
    <r>
      <rPr>
        <sz val="10"/>
        <rFont val="Yu Gothic"/>
        <family val="2"/>
      </rPr>
      <t xml:space="preserve">各補助金の公募要領・交付要綱・</t>
    </r>
    <r>
      <rPr>
        <sz val="10"/>
        <rFont val="Yu Gothic"/>
        <family val="0"/>
        <charset val="1"/>
      </rPr>
      <t xml:space="preserve">Q&amp;A</t>
    </r>
  </si>
  <si>
    <t xml:space="preserve">各省庁・都道府県・事務局</t>
  </si>
  <si>
    <t xml:space="preserve">申請する補助金ごとに最新版を確認（項目の根拠は要領の該当ページを「根拠・メモ」に記入）</t>
  </si>
  <si>
    <r>
      <rPr>
        <sz val="10"/>
        <rFont val="Yu Gothic"/>
        <family val="0"/>
        <charset val="1"/>
      </rPr>
      <t xml:space="preserve">jGrants</t>
    </r>
    <r>
      <rPr>
        <sz val="10"/>
        <rFont val="Yu Gothic"/>
        <family val="2"/>
      </rPr>
      <t xml:space="preserve">（補助金申請システム）</t>
    </r>
  </si>
  <si>
    <t xml:space="preserve">デジタル庁</t>
  </si>
  <si>
    <t xml:space="preserve">https://www.jgrants-portal.go.jp/</t>
  </si>
  <si>
    <r>
      <rPr>
        <sz val="10"/>
        <rFont val="Yu Gothic"/>
        <family val="0"/>
        <charset val="1"/>
      </rPr>
      <t xml:space="preserve">gBizID</t>
    </r>
    <r>
      <rPr>
        <sz val="10"/>
        <rFont val="Yu Gothic"/>
        <family val="2"/>
      </rPr>
      <t xml:space="preserve">（法人・個人事業主向け共通認証）</t>
    </r>
  </si>
  <si>
    <t xml:space="preserve">https://gbiz-id.go.jp/</t>
  </si>
  <si>
    <t xml:space="preserve">医療・介護分野の補助金（医療情報化支援基金、地域医療介護総合確保基金、介護テクノロジー導入支援事業など）</t>
  </si>
  <si>
    <t xml:space="preserve">厚生労働省・都道府県</t>
  </si>
  <si>
    <t xml:space="preserve">公募は都道府県単位で行われることが多い。都道府県の担当課の公募情報を確認</t>
  </si>
  <si>
    <t xml:space="preserve">補足</t>
  </si>
  <si>
    <t xml:space="preserve">・確認項目は一般的な公募要領の共通事項をもとにした参考例です。補助金ごとの要件（対象者・対象経費・期限・処分制限期間など）は必ず当該補助金の公募要領・交付要綱で確認してください。
・「試算」シートの計算は概算です。端数処理・対象外経費の扱いは公募要領に従ってください。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</si>
</sst>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General"/>
    <numFmt numFmtId="167" formatCode="#,##0"/>
    <numFmt numFmtId="168" formatCode="0.00##"/>
    <numFmt numFmtId="169" formatCode="0.0%"/>
  </numFmts>
  <fonts count="14">
    <font>
      <sz val="11"/>
      <color theme="1"/>
      <name val="Yu Gothic"/>
      <family val="2"/>
      <charset val="1"/>
    </font>
    <font>
      <sz val="10"/>
      <name val="Yu Gothic"/>
      <family val="0"/>
    </font>
    <font>
      <sz val="10"/>
      <name val="Yu Gothic"/>
      <family val="0"/>
    </font>
    <font>
      <sz val="10"/>
      <name val="Yu Gothic"/>
      <family val="0"/>
    </font>
    <font>
      <b val="true"/>
      <sz val="14"/>
      <name val="Meiryo UI"/>
      <family val="2"/>
    </font>
    <font>
      <b val="true"/>
      <sz val="10"/>
      <name val="Meiryo UI"/>
      <family val="2"/>
    </font>
    <font>
      <sz val="10"/>
      <name val="Yu Gothic"/>
      <family val="2"/>
    </font>
    <font>
      <sz val="10"/>
      <name val="Yu Gothic"/>
      <family val="0"/>
      <charset val="1"/>
    </font>
    <font>
      <sz val="9"/>
      <color rgb="FF595959"/>
      <name val="Yu Gothic"/>
      <family val="2"/>
    </font>
    <font>
      <b val="true"/>
      <sz val="10"/>
      <name val="Meiryo UI"/>
      <family val="0"/>
      <charset val="1"/>
    </font>
    <font>
      <sz val="10"/>
      <color rgb="FF7F7F7F"/>
      <name val="Yu Gothic"/>
      <family val="2"/>
    </font>
    <font>
      <sz val="10"/>
      <color rgb="FF7F7F7F"/>
      <name val="Yu Gothic"/>
      <family val="0"/>
      <charset val="1"/>
    </font>
    <font>
      <sz val="9"/>
      <color rgb="FF595959"/>
      <name val="Yu Gothic"/>
      <family val="0"/>
      <charset val="1"/>
    </font>
    <font>
      <sz val="10"/>
      <color rgb="FF0563C1"/>
      <name val="Yu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4DFEC"/>
      </patternFill>
    </fill>
    <fill>
      <patternFill patternType="solid">
        <fgColor rgb="FFDDEBF7"/>
        <bgColor rgb="FFE7E6E6"/>
      </patternFill>
    </fill>
    <fill>
      <patternFill patternType="solid">
        <fgColor rgb="FFFFF9E0"/>
        <bgColor rgb="FFFFF2CC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DE9D9"/>
      </patternFill>
    </fill>
    <fill>
      <patternFill patternType="solid">
        <fgColor rgb="FFFDE9D9"/>
        <bgColor rgb="FFFFF2CC"/>
      </patternFill>
    </fill>
    <fill>
      <patternFill patternType="solid">
        <fgColor rgb="FFEDEDED"/>
        <bgColor rgb="FFE7E6E6"/>
      </patternFill>
    </fill>
    <fill>
      <patternFill patternType="solid">
        <fgColor rgb="FFE4DFEC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E0"/>
      <rgbColor rgb="FFDDEBF7"/>
      <rgbColor rgb="FF660066"/>
      <rgbColor rgb="FFFF8080"/>
      <rgbColor rgb="FF0563C1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2CC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aws.e-gov.go.jp/" TargetMode="External"/><Relationship Id="rId2" Type="http://schemas.openxmlformats.org/officeDocument/2006/relationships/hyperlink" Target="https://www.jgrants-portal.go.jp/" TargetMode="External"/><Relationship Id="rId3" Type="http://schemas.openxmlformats.org/officeDocument/2006/relationships/hyperlink" Target="https://gbiz-id.go.j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3" t="s">
        <v>2</v>
      </c>
    </row>
    <row r="4" customFormat="false" ht="19.5" hidden="false" customHeight="true" outlineLevel="0" collapsed="false">
      <c r="A4" s="2" t="s">
        <v>3</v>
      </c>
      <c r="B4" s="4" t="s">
        <v>4</v>
      </c>
    </row>
    <row r="5" customFormat="false" ht="19.5" hidden="false" customHeight="true" outlineLevel="0" collapsed="false">
      <c r="A5" s="2" t="s">
        <v>5</v>
      </c>
      <c r="B5" s="4" t="s">
        <v>6</v>
      </c>
    </row>
    <row r="6" customFormat="false" ht="19.5" hidden="false" customHeight="true" outlineLevel="0" collapsed="false">
      <c r="A6" s="2" t="s">
        <v>7</v>
      </c>
      <c r="B6" s="4" t="s">
        <v>8</v>
      </c>
    </row>
    <row r="7" customFormat="false" ht="19.5" hidden="false" customHeight="true" outlineLevel="0" collapsed="false">
      <c r="A7" s="2" t="s">
        <v>9</v>
      </c>
      <c r="B7" s="4" t="s">
        <v>10</v>
      </c>
    </row>
    <row r="8" customFormat="false" ht="19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  <row r="12" customFormat="false" ht="19.5" hidden="false" customHeight="true" outlineLevel="0" collapsed="false">
      <c r="A12" s="5" t="s">
        <v>17</v>
      </c>
      <c r="B12" s="5"/>
    </row>
    <row r="13" customFormat="false" ht="31.5" hidden="false" customHeight="true" outlineLevel="0" collapsed="false">
      <c r="A13" s="6" t="s">
        <v>18</v>
      </c>
      <c r="B13" s="3" t="s">
        <v>19</v>
      </c>
    </row>
    <row r="14" customFormat="false" ht="19.5" hidden="false" customHeight="true" outlineLevel="0" collapsed="false">
      <c r="A14" s="6" t="s">
        <v>20</v>
      </c>
      <c r="B14" s="3" t="s">
        <v>21</v>
      </c>
    </row>
    <row r="15" customFormat="false" ht="19.5" hidden="false" customHeight="true" outlineLevel="0" collapsed="false">
      <c r="A15" s="2" t="s">
        <v>22</v>
      </c>
      <c r="B15" s="7" t="s">
        <v>23</v>
      </c>
    </row>
    <row r="16" customFormat="false" ht="19.5" hidden="false" customHeight="true" outlineLevel="0" collapsed="false">
      <c r="A16" s="6" t="s">
        <v>24</v>
      </c>
      <c r="B16" s="3" t="s">
        <v>25</v>
      </c>
    </row>
    <row r="17" customFormat="false" ht="19.5" hidden="false" customHeight="true" outlineLevel="0" collapsed="false">
      <c r="A17" s="6" t="s">
        <v>26</v>
      </c>
      <c r="B17" s="3" t="s">
        <v>27</v>
      </c>
    </row>
    <row r="18" customFormat="false" ht="31.5" hidden="false" customHeight="true" outlineLevel="0" collapsed="false">
      <c r="A18" s="6" t="s">
        <v>28</v>
      </c>
      <c r="B18" s="3" t="s">
        <v>29</v>
      </c>
    </row>
    <row r="19" customFormat="false" ht="19.5" hidden="false" customHeight="true" outlineLevel="0" collapsed="false">
      <c r="A19" s="6" t="s">
        <v>30</v>
      </c>
      <c r="B19" s="3" t="s">
        <v>31</v>
      </c>
    </row>
    <row r="20" customFormat="false" ht="31.5" hidden="false" customHeight="true" outlineLevel="0" collapsed="false">
      <c r="A20" s="6" t="s">
        <v>32</v>
      </c>
      <c r="B20" s="3" t="s">
        <v>33</v>
      </c>
    </row>
    <row r="21" customFormat="false" ht="31.5" hidden="false" customHeight="true" outlineLevel="0" collapsed="false">
      <c r="A21" s="6" t="s">
        <v>34</v>
      </c>
      <c r="B21" s="3" t="s">
        <v>35</v>
      </c>
    </row>
    <row r="22" customFormat="false" ht="31.5" hidden="false" customHeight="true" outlineLevel="0" collapsed="false">
      <c r="A22" s="6" t="s">
        <v>36</v>
      </c>
      <c r="B22" s="3" t="s">
        <v>37</v>
      </c>
    </row>
    <row r="24" customFormat="false" ht="19.5" hidden="false" customHeight="true" outlineLevel="0" collapsed="false">
      <c r="A24" s="5" t="s">
        <v>38</v>
      </c>
      <c r="B24" s="5"/>
    </row>
    <row r="25" customFormat="false" ht="31.5" hidden="false" customHeight="true" outlineLevel="0" collapsed="false">
      <c r="A25" s="2" t="s">
        <v>39</v>
      </c>
      <c r="B25" s="3" t="s">
        <v>40</v>
      </c>
    </row>
    <row r="26" customFormat="false" ht="31.5" hidden="false" customHeight="true" outlineLevel="0" collapsed="false">
      <c r="A26" s="2" t="s">
        <v>41</v>
      </c>
      <c r="B26" s="3" t="s">
        <v>42</v>
      </c>
    </row>
    <row r="27" customFormat="false" ht="19.5" hidden="false" customHeight="true" outlineLevel="0" collapsed="false">
      <c r="A27" s="2" t="s">
        <v>43</v>
      </c>
      <c r="B27" s="3" t="s">
        <v>44</v>
      </c>
    </row>
    <row r="29" customFormat="false" ht="19.5" hidden="false" customHeight="true" outlineLevel="0" collapsed="false">
      <c r="A29" s="5" t="s">
        <v>45</v>
      </c>
      <c r="B29" s="5"/>
    </row>
    <row r="30" customFormat="false" ht="45.75" hidden="false" customHeight="true" outlineLevel="0" collapsed="false">
      <c r="A30" s="2" t="s">
        <v>46</v>
      </c>
      <c r="B30" s="3" t="s">
        <v>47</v>
      </c>
    </row>
  </sheetData>
  <mergeCells count="4">
    <mergeCell ref="A1:B1"/>
    <mergeCell ref="A12:B12"/>
    <mergeCell ref="A24:B24"/>
    <mergeCell ref="A29:B2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49</v>
      </c>
      <c r="B2" s="2"/>
      <c r="C2" s="8"/>
      <c r="D2" s="9" t="s">
        <v>50</v>
      </c>
      <c r="E2" s="10"/>
      <c r="F2" s="9" t="s">
        <v>51</v>
      </c>
      <c r="G2" s="8"/>
    </row>
    <row r="3" customFormat="false" ht="21.75" hidden="false" customHeight="true" outlineLevel="0" collapsed="false">
      <c r="A3" s="2" t="s">
        <v>52</v>
      </c>
      <c r="B3" s="2"/>
      <c r="C3" s="11" t="str">
        <f aca="false">"済 "&amp;COUNTIF(D7:D32,"済")&amp;" 件　未 "&amp;COUNTIF(D7:D32,"未")&amp;" 件　該当なし "&amp;COUNTIF(D7:D32,"該当なし")&amp;" 件　未記入 "&amp;COUNTBLANK(D7:D32)&amp;" 件　／ 全 "&amp;COUNTA(C7:C32)&amp;" 項目"</f>
        <v>済 0 件　未 0 件　該当なし 0 件　未記入 26 件　／ 全 26 項目</v>
      </c>
      <c r="D3" s="9" t="s">
        <v>53</v>
      </c>
      <c r="E3" s="12" t="str">
        <f aca="false">IF(COUNTIF(D7:D32,"未")+COUNTBLANK(D7:D32)=0,"申請着手可","未確認あり")</f>
        <v>未確認あり</v>
      </c>
      <c r="F3" s="12"/>
      <c r="G3" s="12"/>
    </row>
    <row r="4" customFormat="false" ht="27.75" hidden="false" customHeight="true" outlineLevel="0" collapsed="false">
      <c r="A4" s="13" t="s">
        <v>54</v>
      </c>
      <c r="B4" s="13"/>
      <c r="C4" s="13"/>
      <c r="D4" s="13"/>
      <c r="E4" s="13"/>
      <c r="F4" s="13"/>
      <c r="G4" s="13"/>
    </row>
    <row r="5" customFormat="false" ht="30" hidden="false" customHeight="true" outlineLevel="0" collapsed="false">
      <c r="A5" s="14" t="s">
        <v>55</v>
      </c>
      <c r="B5" s="9" t="s">
        <v>56</v>
      </c>
      <c r="C5" s="9" t="s">
        <v>57</v>
      </c>
      <c r="D5" s="9" t="s">
        <v>58</v>
      </c>
      <c r="E5" s="9" t="s">
        <v>51</v>
      </c>
      <c r="F5" s="9" t="s">
        <v>59</v>
      </c>
      <c r="G5" s="9" t="s">
        <v>60</v>
      </c>
    </row>
    <row r="6" customFormat="false" ht="31.5" hidden="false" customHeight="true" outlineLevel="0" collapsed="false">
      <c r="A6" s="15" t="s">
        <v>61</v>
      </c>
      <c r="B6" s="15" t="s">
        <v>62</v>
      </c>
      <c r="C6" s="16" t="s">
        <v>63</v>
      </c>
      <c r="D6" s="17" t="s">
        <v>64</v>
      </c>
      <c r="E6" s="18" t="s">
        <v>65</v>
      </c>
      <c r="F6" s="19" t="n">
        <v>46310</v>
      </c>
      <c r="G6" s="20" t="s">
        <v>66</v>
      </c>
    </row>
    <row r="7" customFormat="false" ht="31.5" hidden="false" customHeight="true" outlineLevel="0" collapsed="false">
      <c r="A7" s="6" t="n">
        <v>1</v>
      </c>
      <c r="B7" s="21" t="s">
        <v>67</v>
      </c>
      <c r="C7" s="3" t="s">
        <v>68</v>
      </c>
      <c r="D7" s="22"/>
      <c r="E7" s="8"/>
      <c r="F7" s="10"/>
      <c r="G7" s="7"/>
    </row>
    <row r="8" customFormat="false" ht="27.75" hidden="false" customHeight="true" outlineLevel="0" collapsed="false">
      <c r="A8" s="6" t="n">
        <v>2</v>
      </c>
      <c r="B8" s="21" t="s">
        <v>67</v>
      </c>
      <c r="C8" s="3" t="s">
        <v>69</v>
      </c>
      <c r="D8" s="22"/>
      <c r="E8" s="8"/>
      <c r="F8" s="10"/>
      <c r="G8" s="7"/>
    </row>
    <row r="9" customFormat="false" ht="31.5" hidden="false" customHeight="true" outlineLevel="0" collapsed="false">
      <c r="A9" s="6" t="n">
        <v>3</v>
      </c>
      <c r="B9" s="21" t="s">
        <v>67</v>
      </c>
      <c r="C9" s="3" t="s">
        <v>70</v>
      </c>
      <c r="D9" s="22"/>
      <c r="E9" s="8"/>
      <c r="F9" s="10"/>
      <c r="G9" s="7"/>
    </row>
    <row r="10" customFormat="false" ht="31.5" hidden="false" customHeight="true" outlineLevel="0" collapsed="false">
      <c r="A10" s="6" t="n">
        <v>4</v>
      </c>
      <c r="B10" s="12" t="s">
        <v>71</v>
      </c>
      <c r="C10" s="3" t="s">
        <v>72</v>
      </c>
      <c r="D10" s="22"/>
      <c r="E10" s="8"/>
      <c r="F10" s="10"/>
      <c r="G10" s="7"/>
    </row>
    <row r="11" customFormat="false" ht="31.5" hidden="false" customHeight="true" outlineLevel="0" collapsed="false">
      <c r="A11" s="6" t="n">
        <v>5</v>
      </c>
      <c r="B11" s="12" t="s">
        <v>71</v>
      </c>
      <c r="C11" s="3" t="s">
        <v>73</v>
      </c>
      <c r="D11" s="22"/>
      <c r="E11" s="8"/>
      <c r="F11" s="10"/>
      <c r="G11" s="7"/>
    </row>
    <row r="12" customFormat="false" ht="31.5" hidden="false" customHeight="true" outlineLevel="0" collapsed="false">
      <c r="A12" s="6" t="n">
        <v>6</v>
      </c>
      <c r="B12" s="12" t="s">
        <v>71</v>
      </c>
      <c r="C12" s="3" t="s">
        <v>74</v>
      </c>
      <c r="D12" s="22"/>
      <c r="E12" s="8"/>
      <c r="F12" s="10"/>
      <c r="G12" s="7"/>
    </row>
    <row r="13" customFormat="false" ht="31.5" hidden="false" customHeight="true" outlineLevel="0" collapsed="false">
      <c r="A13" s="6" t="n">
        <v>7</v>
      </c>
      <c r="B13" s="23" t="s">
        <v>75</v>
      </c>
      <c r="C13" s="3" t="s">
        <v>76</v>
      </c>
      <c r="D13" s="22"/>
      <c r="E13" s="8"/>
      <c r="F13" s="10"/>
      <c r="G13" s="7"/>
    </row>
    <row r="14" customFormat="false" ht="31.5" hidden="false" customHeight="true" outlineLevel="0" collapsed="false">
      <c r="A14" s="6" t="n">
        <v>8</v>
      </c>
      <c r="B14" s="23" t="s">
        <v>75</v>
      </c>
      <c r="C14" s="3" t="s">
        <v>77</v>
      </c>
      <c r="D14" s="22"/>
      <c r="E14" s="8"/>
      <c r="F14" s="10"/>
      <c r="G14" s="7"/>
    </row>
    <row r="15" customFormat="false" ht="31.5" hidden="false" customHeight="true" outlineLevel="0" collapsed="false">
      <c r="A15" s="6" t="n">
        <v>9</v>
      </c>
      <c r="B15" s="23" t="s">
        <v>75</v>
      </c>
      <c r="C15" s="3" t="s">
        <v>78</v>
      </c>
      <c r="D15" s="22"/>
      <c r="E15" s="8"/>
      <c r="F15" s="10"/>
      <c r="G15" s="7"/>
    </row>
    <row r="16" customFormat="false" ht="31.5" hidden="false" customHeight="true" outlineLevel="0" collapsed="false">
      <c r="A16" s="6" t="n">
        <v>10</v>
      </c>
      <c r="B16" s="23" t="s">
        <v>75</v>
      </c>
      <c r="C16" s="3" t="s">
        <v>79</v>
      </c>
      <c r="D16" s="22"/>
      <c r="E16" s="8"/>
      <c r="F16" s="10"/>
      <c r="G16" s="7"/>
    </row>
    <row r="17" customFormat="false" ht="27.75" hidden="false" customHeight="true" outlineLevel="0" collapsed="false">
      <c r="A17" s="6" t="n">
        <v>11</v>
      </c>
      <c r="B17" s="23" t="s">
        <v>75</v>
      </c>
      <c r="C17" s="3" t="s">
        <v>80</v>
      </c>
      <c r="D17" s="22"/>
      <c r="E17" s="8"/>
      <c r="F17" s="10"/>
      <c r="G17" s="7"/>
    </row>
    <row r="18" customFormat="false" ht="31.5" hidden="false" customHeight="true" outlineLevel="0" collapsed="false">
      <c r="A18" s="6" t="n">
        <v>12</v>
      </c>
      <c r="B18" s="24" t="s">
        <v>81</v>
      </c>
      <c r="C18" s="3" t="s">
        <v>82</v>
      </c>
      <c r="D18" s="22"/>
      <c r="E18" s="8"/>
      <c r="F18" s="10"/>
      <c r="G18" s="7"/>
    </row>
    <row r="19" customFormat="false" ht="31.5" hidden="false" customHeight="true" outlineLevel="0" collapsed="false">
      <c r="A19" s="6" t="n">
        <v>13</v>
      </c>
      <c r="B19" s="24" t="s">
        <v>81</v>
      </c>
      <c r="C19" s="3" t="s">
        <v>83</v>
      </c>
      <c r="D19" s="22"/>
      <c r="E19" s="8"/>
      <c r="F19" s="10"/>
      <c r="G19" s="7"/>
    </row>
    <row r="20" customFormat="false" ht="31.5" hidden="false" customHeight="true" outlineLevel="0" collapsed="false">
      <c r="A20" s="6" t="n">
        <v>14</v>
      </c>
      <c r="B20" s="24" t="s">
        <v>81</v>
      </c>
      <c r="C20" s="3" t="s">
        <v>84</v>
      </c>
      <c r="D20" s="22"/>
      <c r="E20" s="8"/>
      <c r="F20" s="10"/>
      <c r="G20" s="7"/>
    </row>
    <row r="21" customFormat="false" ht="27.75" hidden="false" customHeight="true" outlineLevel="0" collapsed="false">
      <c r="A21" s="6" t="n">
        <v>15</v>
      </c>
      <c r="B21" s="25" t="s">
        <v>85</v>
      </c>
      <c r="C21" s="3" t="s">
        <v>86</v>
      </c>
      <c r="D21" s="22"/>
      <c r="E21" s="8"/>
      <c r="F21" s="10"/>
      <c r="G21" s="7"/>
    </row>
    <row r="22" customFormat="false" ht="31.5" hidden="false" customHeight="true" outlineLevel="0" collapsed="false">
      <c r="A22" s="6" t="n">
        <v>16</v>
      </c>
      <c r="B22" s="25" t="s">
        <v>85</v>
      </c>
      <c r="C22" s="4" t="s">
        <v>87</v>
      </c>
      <c r="D22" s="22"/>
      <c r="E22" s="8"/>
      <c r="F22" s="10"/>
      <c r="G22" s="7"/>
    </row>
    <row r="23" customFormat="false" ht="31.5" hidden="false" customHeight="true" outlineLevel="0" collapsed="false">
      <c r="A23" s="6" t="n">
        <v>17</v>
      </c>
      <c r="B23" s="25" t="s">
        <v>85</v>
      </c>
      <c r="C23" s="4" t="s">
        <v>88</v>
      </c>
      <c r="D23" s="22"/>
      <c r="E23" s="8"/>
      <c r="F23" s="10"/>
      <c r="G23" s="7"/>
    </row>
    <row r="24" customFormat="false" ht="31.5" hidden="false" customHeight="true" outlineLevel="0" collapsed="false">
      <c r="A24" s="6" t="n">
        <v>18</v>
      </c>
      <c r="B24" s="25" t="s">
        <v>85</v>
      </c>
      <c r="C24" s="3" t="s">
        <v>89</v>
      </c>
      <c r="D24" s="22"/>
      <c r="E24" s="8"/>
      <c r="F24" s="10"/>
      <c r="G24" s="7"/>
    </row>
    <row r="25" customFormat="false" ht="31.5" hidden="false" customHeight="true" outlineLevel="0" collapsed="false">
      <c r="A25" s="6" t="n">
        <v>19</v>
      </c>
      <c r="B25" s="25" t="s">
        <v>85</v>
      </c>
      <c r="C25" s="3" t="s">
        <v>90</v>
      </c>
      <c r="D25" s="22"/>
      <c r="E25" s="8"/>
      <c r="F25" s="10"/>
      <c r="G25" s="7"/>
    </row>
    <row r="26" customFormat="false" ht="27.75" hidden="false" customHeight="true" outlineLevel="0" collapsed="false">
      <c r="A26" s="6" t="n">
        <v>20</v>
      </c>
      <c r="B26" s="25" t="s">
        <v>85</v>
      </c>
      <c r="C26" s="3" t="s">
        <v>91</v>
      </c>
      <c r="D26" s="22"/>
      <c r="E26" s="8"/>
      <c r="F26" s="10"/>
      <c r="G26" s="7"/>
    </row>
    <row r="27" customFormat="false" ht="31.5" hidden="false" customHeight="true" outlineLevel="0" collapsed="false">
      <c r="A27" s="6" t="n">
        <v>21</v>
      </c>
      <c r="B27" s="25" t="s">
        <v>85</v>
      </c>
      <c r="C27" s="3" t="s">
        <v>92</v>
      </c>
      <c r="D27" s="22"/>
      <c r="E27" s="8"/>
      <c r="F27" s="10"/>
      <c r="G27" s="7"/>
    </row>
    <row r="28" customFormat="false" ht="31.5" hidden="false" customHeight="true" outlineLevel="0" collapsed="false">
      <c r="A28" s="6" t="n">
        <v>22</v>
      </c>
      <c r="B28" s="26" t="s">
        <v>93</v>
      </c>
      <c r="C28" s="3" t="s">
        <v>94</v>
      </c>
      <c r="D28" s="22"/>
      <c r="E28" s="8"/>
      <c r="F28" s="10"/>
      <c r="G28" s="7"/>
    </row>
    <row r="29" customFormat="false" ht="31.5" hidden="false" customHeight="true" outlineLevel="0" collapsed="false">
      <c r="A29" s="6" t="n">
        <v>23</v>
      </c>
      <c r="B29" s="26" t="s">
        <v>93</v>
      </c>
      <c r="C29" s="3" t="s">
        <v>95</v>
      </c>
      <c r="D29" s="22"/>
      <c r="E29" s="8"/>
      <c r="F29" s="10"/>
      <c r="G29" s="7"/>
    </row>
    <row r="30" customFormat="false" ht="31.5" hidden="false" customHeight="true" outlineLevel="0" collapsed="false">
      <c r="A30" s="6" t="n">
        <v>24</v>
      </c>
      <c r="B30" s="26" t="s">
        <v>93</v>
      </c>
      <c r="C30" s="3" t="s">
        <v>96</v>
      </c>
      <c r="D30" s="22"/>
      <c r="E30" s="8"/>
      <c r="F30" s="10"/>
      <c r="G30" s="7"/>
    </row>
    <row r="31" customFormat="false" ht="31.5" hidden="false" customHeight="true" outlineLevel="0" collapsed="false">
      <c r="A31" s="6" t="n">
        <v>25</v>
      </c>
      <c r="B31" s="26" t="s">
        <v>93</v>
      </c>
      <c r="C31" s="3" t="s">
        <v>97</v>
      </c>
      <c r="D31" s="22"/>
      <c r="E31" s="8"/>
      <c r="F31" s="10"/>
      <c r="G31" s="7"/>
    </row>
    <row r="32" customFormat="false" ht="31.5" hidden="false" customHeight="true" outlineLevel="0" collapsed="false">
      <c r="A32" s="6" t="n">
        <v>26</v>
      </c>
      <c r="B32" s="26" t="s">
        <v>93</v>
      </c>
      <c r="C32" s="3" t="s">
        <v>98</v>
      </c>
      <c r="D32" s="22"/>
      <c r="E32" s="8"/>
      <c r="F32" s="10"/>
      <c r="G32" s="7"/>
    </row>
    <row r="34" customFormat="false" ht="19.5" hidden="false" customHeight="true" outlineLevel="0" collapsed="false">
      <c r="A34" s="5" t="s">
        <v>99</v>
      </c>
      <c r="B34" s="5"/>
      <c r="C34" s="5"/>
      <c r="D34" s="5"/>
      <c r="E34" s="5"/>
      <c r="F34" s="5"/>
      <c r="G34" s="5"/>
    </row>
    <row r="35" customFormat="false" ht="19.5" hidden="false" customHeight="true" outlineLevel="0" collapsed="false">
      <c r="A35" s="9"/>
      <c r="B35" s="9" t="s">
        <v>56</v>
      </c>
      <c r="C35" s="9" t="s">
        <v>100</v>
      </c>
      <c r="D35" s="9" t="s">
        <v>64</v>
      </c>
      <c r="E35" s="9" t="s">
        <v>101</v>
      </c>
      <c r="F35" s="9" t="s">
        <v>102</v>
      </c>
      <c r="G35" s="9" t="s">
        <v>103</v>
      </c>
    </row>
    <row r="36" customFormat="false" ht="19.5" hidden="false" customHeight="true" outlineLevel="0" collapsed="false">
      <c r="A36" s="3"/>
      <c r="B36" s="21" t="s">
        <v>67</v>
      </c>
      <c r="C36" s="27" t="n">
        <f aca="false">COUNTIF(B7:B32,"公募要領")</f>
        <v>3</v>
      </c>
      <c r="D36" s="27" t="n">
        <f aca="false">COUNTIFS(B7:B32,"公募要領",D7:D32,"済")</f>
        <v>0</v>
      </c>
      <c r="E36" s="27" t="n">
        <f aca="false">COUNTIFS(B7:B32,"公募要領",D7:D32,"未")</f>
        <v>0</v>
      </c>
      <c r="F36" s="27" t="n">
        <f aca="false">COUNTIFS(B7:B32,"公募要領",D7:D32,"該当なし")</f>
        <v>0</v>
      </c>
      <c r="G36" s="27" t="n">
        <f aca="false">C36-D36-E36-F36</f>
        <v>3</v>
      </c>
    </row>
    <row r="37" customFormat="false" ht="19.5" hidden="false" customHeight="true" outlineLevel="0" collapsed="false">
      <c r="A37" s="3"/>
      <c r="B37" s="12" t="s">
        <v>71</v>
      </c>
      <c r="C37" s="27" t="n">
        <f aca="false">COUNTIF(B7:B32,"対象者要件")</f>
        <v>3</v>
      </c>
      <c r="D37" s="27" t="n">
        <f aca="false">COUNTIFS(B7:B32,"対象者要件",D7:D32,"済")</f>
        <v>0</v>
      </c>
      <c r="E37" s="27" t="n">
        <f aca="false">COUNTIFS(B7:B32,"対象者要件",D7:D32,"未")</f>
        <v>0</v>
      </c>
      <c r="F37" s="27" t="n">
        <f aca="false">COUNTIFS(B7:B32,"対象者要件",D7:D32,"該当なし")</f>
        <v>0</v>
      </c>
      <c r="G37" s="27" t="n">
        <f aca="false">C37-D37-E37-F37</f>
        <v>3</v>
      </c>
    </row>
    <row r="38" customFormat="false" ht="19.5" hidden="false" customHeight="true" outlineLevel="0" collapsed="false">
      <c r="A38" s="3"/>
      <c r="B38" s="23" t="s">
        <v>75</v>
      </c>
      <c r="C38" s="27" t="n">
        <f aca="false">COUNTIF(B7:B32,"対象経費")</f>
        <v>5</v>
      </c>
      <c r="D38" s="27" t="n">
        <f aca="false">COUNTIFS(B7:B32,"対象経費",D7:D32,"済")</f>
        <v>0</v>
      </c>
      <c r="E38" s="27" t="n">
        <f aca="false">COUNTIFS(B7:B32,"対象経費",D7:D32,"未")</f>
        <v>0</v>
      </c>
      <c r="F38" s="27" t="n">
        <f aca="false">COUNTIFS(B7:B32,"対象経費",D7:D32,"該当なし")</f>
        <v>0</v>
      </c>
      <c r="G38" s="27" t="n">
        <f aca="false">C38-D38-E38-F38</f>
        <v>5</v>
      </c>
    </row>
    <row r="39" customFormat="false" ht="19.5" hidden="false" customHeight="true" outlineLevel="0" collapsed="false">
      <c r="A39" s="3"/>
      <c r="B39" s="24" t="s">
        <v>81</v>
      </c>
      <c r="C39" s="27" t="n">
        <f aca="false">COUNTIF(B7:B32,"スケジュール")</f>
        <v>3</v>
      </c>
      <c r="D39" s="27" t="n">
        <f aca="false">COUNTIFS(B7:B32,"スケジュール",D7:D32,"済")</f>
        <v>0</v>
      </c>
      <c r="E39" s="27" t="n">
        <f aca="false">COUNTIFS(B7:B32,"スケジュール",D7:D32,"未")</f>
        <v>0</v>
      </c>
      <c r="F39" s="27" t="n">
        <f aca="false">COUNTIFS(B7:B32,"スケジュール",D7:D32,"該当なし")</f>
        <v>0</v>
      </c>
      <c r="G39" s="27" t="n">
        <f aca="false">C39-D39-E39-F39</f>
        <v>3</v>
      </c>
    </row>
    <row r="40" customFormat="false" ht="19.5" hidden="false" customHeight="true" outlineLevel="0" collapsed="false">
      <c r="A40" s="3"/>
      <c r="B40" s="25" t="s">
        <v>85</v>
      </c>
      <c r="C40" s="27" t="n">
        <f aca="false">COUNTIF(B7:B32,"申請準備")</f>
        <v>7</v>
      </c>
      <c r="D40" s="27" t="n">
        <f aca="false">COUNTIFS(B7:B32,"申請準備",D7:D32,"済")</f>
        <v>0</v>
      </c>
      <c r="E40" s="27" t="n">
        <f aca="false">COUNTIFS(B7:B32,"申請準備",D7:D32,"未")</f>
        <v>0</v>
      </c>
      <c r="F40" s="27" t="n">
        <f aca="false">COUNTIFS(B7:B32,"申請準備",D7:D32,"該当なし")</f>
        <v>0</v>
      </c>
      <c r="G40" s="27" t="n">
        <f aca="false">C40-D40-E40-F40</f>
        <v>7</v>
      </c>
    </row>
    <row r="41" customFormat="false" ht="19.5" hidden="false" customHeight="true" outlineLevel="0" collapsed="false">
      <c r="A41" s="3"/>
      <c r="B41" s="26" t="s">
        <v>93</v>
      </c>
      <c r="C41" s="27" t="n">
        <f aca="false">COUNTIF(B7:B32,"採択後の義務")</f>
        <v>5</v>
      </c>
      <c r="D41" s="27" t="n">
        <f aca="false">COUNTIFS(B7:B32,"採択後の義務",D7:D32,"済")</f>
        <v>0</v>
      </c>
      <c r="E41" s="27" t="n">
        <f aca="false">COUNTIFS(B7:B32,"採択後の義務",D7:D32,"未")</f>
        <v>0</v>
      </c>
      <c r="F41" s="27" t="n">
        <f aca="false">COUNTIFS(B7:B32,"採択後の義務",D7:D32,"該当なし")</f>
        <v>0</v>
      </c>
      <c r="G41" s="27" t="n">
        <f aca="false">C41-D41-E41-F41</f>
        <v>5</v>
      </c>
    </row>
  </sheetData>
  <mergeCells count="6">
    <mergeCell ref="A1:G1"/>
    <mergeCell ref="A2:B2"/>
    <mergeCell ref="A3:B3"/>
    <mergeCell ref="E3:G3"/>
    <mergeCell ref="A4:G4"/>
    <mergeCell ref="A34:G34"/>
  </mergeCells>
  <dataValidations count="1">
    <dataValidation allowBlank="true" errorStyle="stop" operator="between" showDropDown="false" showErrorMessage="true" showInputMessage="false" sqref="D6:D52" type="list">
      <formula1>"済,未,該当なし"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13" t="s">
        <v>105</v>
      </c>
      <c r="B2" s="13"/>
      <c r="C2" s="13"/>
      <c r="D2" s="13"/>
      <c r="E2" s="13"/>
      <c r="F2" s="13"/>
      <c r="G2" s="13"/>
      <c r="H2" s="13"/>
    </row>
    <row r="4" customFormat="false" ht="31.5" hidden="false" customHeight="true" outlineLevel="0" collapsed="false">
      <c r="A4" s="14" t="s">
        <v>55</v>
      </c>
      <c r="B4" s="9" t="s">
        <v>106</v>
      </c>
      <c r="C4" s="9" t="s">
        <v>107</v>
      </c>
      <c r="D4" s="9" t="s">
        <v>108</v>
      </c>
      <c r="E4" s="9" t="s">
        <v>109</v>
      </c>
      <c r="F4" s="9" t="s">
        <v>110</v>
      </c>
      <c r="G4" s="9" t="s">
        <v>111</v>
      </c>
      <c r="H4" s="9" t="s">
        <v>112</v>
      </c>
    </row>
    <row r="5" customFormat="false" ht="24" hidden="false" customHeight="true" outlineLevel="0" collapsed="false">
      <c r="A5" s="15" t="s">
        <v>61</v>
      </c>
      <c r="B5" s="16" t="s">
        <v>113</v>
      </c>
      <c r="C5" s="28" t="n">
        <v>8000000</v>
      </c>
      <c r="D5" s="29" t="n">
        <v>0.5</v>
      </c>
      <c r="E5" s="28" t="n">
        <v>3000000</v>
      </c>
      <c r="F5" s="30" t="n">
        <f aca="false">IF(C5="","",IF(E5="",C5*D5,MIN(C5*D5,E5)))</f>
        <v>3000000</v>
      </c>
      <c r="G5" s="30" t="n">
        <f aca="false">IF(C5="","",C5-F5)</f>
        <v>5000000</v>
      </c>
      <c r="H5" s="20" t="s">
        <v>114</v>
      </c>
    </row>
    <row r="6" customFormat="false" ht="24" hidden="false" customHeight="true" outlineLevel="0" collapsed="false">
      <c r="A6" s="6" t="n">
        <v>1</v>
      </c>
      <c r="B6" s="8"/>
      <c r="C6" s="31"/>
      <c r="D6" s="32"/>
      <c r="E6" s="31"/>
      <c r="F6" s="30" t="str">
        <f aca="false">IF(C6="","",IF(E6="",C6*D6,MIN(C6*D6,E6)))</f>
        <v/>
      </c>
      <c r="G6" s="30" t="str">
        <f aca="false">IF(C6="","",C6-F6)</f>
        <v/>
      </c>
      <c r="H6" s="7"/>
    </row>
    <row r="7" customFormat="false" ht="24" hidden="false" customHeight="true" outlineLevel="0" collapsed="false">
      <c r="A7" s="6" t="n">
        <v>2</v>
      </c>
      <c r="B7" s="8"/>
      <c r="C7" s="31"/>
      <c r="D7" s="32"/>
      <c r="E7" s="31"/>
      <c r="F7" s="30" t="str">
        <f aca="false">IF(C7="","",IF(E7="",C7*D7,MIN(C7*D7,E7)))</f>
        <v/>
      </c>
      <c r="G7" s="30" t="str">
        <f aca="false">IF(C7="","",C7-F7)</f>
        <v/>
      </c>
      <c r="H7" s="7"/>
    </row>
    <row r="8" customFormat="false" ht="24" hidden="false" customHeight="true" outlineLevel="0" collapsed="false">
      <c r="A8" s="6" t="n">
        <v>3</v>
      </c>
      <c r="B8" s="8"/>
      <c r="C8" s="31"/>
      <c r="D8" s="32"/>
      <c r="E8" s="31"/>
      <c r="F8" s="30" t="str">
        <f aca="false">IF(C8="","",IF(E8="",C8*D8,MIN(C8*D8,E8)))</f>
        <v/>
      </c>
      <c r="G8" s="30" t="str">
        <f aca="false">IF(C8="","",C8-F8)</f>
        <v/>
      </c>
      <c r="H8" s="7"/>
    </row>
    <row r="9" customFormat="false" ht="24" hidden="false" customHeight="true" outlineLevel="0" collapsed="false">
      <c r="A9" s="6" t="n">
        <v>4</v>
      </c>
      <c r="B9" s="8"/>
      <c r="C9" s="31"/>
      <c r="D9" s="32"/>
      <c r="E9" s="31"/>
      <c r="F9" s="30" t="str">
        <f aca="false">IF(C9="","",IF(E9="",C9*D9,MIN(C9*D9,E9)))</f>
        <v/>
      </c>
      <c r="G9" s="30" t="str">
        <f aca="false">IF(C9="","",C9-F9)</f>
        <v/>
      </c>
      <c r="H9" s="7"/>
    </row>
    <row r="10" customFormat="false" ht="24" hidden="false" customHeight="true" outlineLevel="0" collapsed="false">
      <c r="A10" s="6" t="n">
        <v>5</v>
      </c>
      <c r="B10" s="8"/>
      <c r="C10" s="31"/>
      <c r="D10" s="32"/>
      <c r="E10" s="31"/>
      <c r="F10" s="30" t="str">
        <f aca="false">IF(C10="","",IF(E10="",C10*D10,MIN(C10*D10,E10)))</f>
        <v/>
      </c>
      <c r="G10" s="30" t="str">
        <f aca="false">IF(C10="","",C10-F10)</f>
        <v/>
      </c>
      <c r="H10" s="7"/>
    </row>
    <row r="11" customFormat="false" ht="24" hidden="false" customHeight="true" outlineLevel="0" collapsed="false">
      <c r="A11" s="6" t="n">
        <v>6</v>
      </c>
      <c r="B11" s="8"/>
      <c r="C11" s="31"/>
      <c r="D11" s="32"/>
      <c r="E11" s="31"/>
      <c r="F11" s="30" t="str">
        <f aca="false">IF(C11="","",IF(E11="",C11*D11,MIN(C11*D11,E11)))</f>
        <v/>
      </c>
      <c r="G11" s="30" t="str">
        <f aca="false">IF(C11="","",C11-F11)</f>
        <v/>
      </c>
      <c r="H11" s="7"/>
    </row>
    <row r="12" customFormat="false" ht="21.75" hidden="false" customHeight="true" outlineLevel="0" collapsed="false">
      <c r="A12" s="33"/>
      <c r="B12" s="2" t="s">
        <v>115</v>
      </c>
      <c r="C12" s="34" t="n">
        <f aca="false">SUM(C6:C11)</f>
        <v>0</v>
      </c>
      <c r="D12" s="33"/>
      <c r="E12" s="33"/>
      <c r="F12" s="34" t="n">
        <f aca="false">SUM(F6:F11)</f>
        <v>0</v>
      </c>
      <c r="G12" s="34" t="n">
        <f aca="false">SUM(G6:G11)</f>
        <v>0</v>
      </c>
      <c r="H12" s="33"/>
    </row>
    <row r="13" customFormat="false" ht="21.75" hidden="false" customHeight="true" outlineLevel="0" collapsed="false">
      <c r="B13" s="2" t="s">
        <v>116</v>
      </c>
      <c r="C13" s="35" t="str">
        <f aca="false">IF(C12=0,"",G12/C12)</f>
        <v/>
      </c>
    </row>
    <row r="15" customFormat="false" ht="19.5" hidden="false" customHeight="true" outlineLevel="0" collapsed="false">
      <c r="A15" s="5" t="s">
        <v>117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36" t="s">
        <v>118</v>
      </c>
      <c r="C16" s="37" t="n">
        <v>0.5</v>
      </c>
    </row>
    <row r="17" customFormat="false" ht="15" hidden="false" customHeight="false" outlineLevel="0" collapsed="false">
      <c r="B17" s="36" t="s">
        <v>119</v>
      </c>
      <c r="C17" s="37" t="n">
        <v>0.6667</v>
      </c>
    </row>
    <row r="18" customFormat="false" ht="15" hidden="false" customHeight="false" outlineLevel="0" collapsed="false">
      <c r="B18" s="36" t="s">
        <v>120</v>
      </c>
      <c r="C18" s="37" t="n">
        <v>0.75</v>
      </c>
    </row>
    <row r="19" customFormat="false" ht="15" hidden="false" customHeight="false" outlineLevel="0" collapsed="false">
      <c r="B19" s="36" t="s">
        <v>121</v>
      </c>
      <c r="C19" s="37" t="n">
        <v>0.3333</v>
      </c>
    </row>
    <row r="20" customFormat="false" ht="15" hidden="false" customHeight="false" outlineLevel="0" collapsed="false">
      <c r="B20" s="36" t="s">
        <v>122</v>
      </c>
      <c r="C20" s="37" t="n">
        <v>1</v>
      </c>
    </row>
    <row r="22" customFormat="false" ht="18" hidden="false" customHeight="true" outlineLevel="0" collapsed="false">
      <c r="A22" s="13" t="s">
        <v>123</v>
      </c>
      <c r="B22" s="13"/>
      <c r="C22" s="13"/>
      <c r="D22" s="13"/>
      <c r="E22" s="13"/>
      <c r="F22" s="13"/>
      <c r="G22" s="13"/>
      <c r="H22" s="13"/>
    </row>
    <row r="23" customFormat="false" ht="18" hidden="false" customHeight="true" outlineLevel="0" collapsed="false">
      <c r="A23" s="13" t="s">
        <v>124</v>
      </c>
      <c r="B23" s="13"/>
      <c r="C23" s="13"/>
      <c r="D23" s="13"/>
      <c r="E23" s="13"/>
      <c r="F23" s="13"/>
      <c r="G23" s="13"/>
      <c r="H23" s="13"/>
    </row>
    <row r="24" customFormat="false" ht="18" hidden="false" customHeight="true" outlineLevel="0" collapsed="false">
      <c r="A24" s="13" t="s">
        <v>125</v>
      </c>
      <c r="B24" s="13"/>
      <c r="C24" s="13"/>
      <c r="D24" s="13"/>
      <c r="E24" s="13"/>
      <c r="F24" s="13"/>
      <c r="G24" s="13"/>
      <c r="H24" s="13"/>
    </row>
  </sheetData>
  <mergeCells count="6">
    <mergeCell ref="A1:H1"/>
    <mergeCell ref="A2:H2"/>
    <mergeCell ref="A15:H15"/>
    <mergeCell ref="A22:H22"/>
    <mergeCell ref="A23:H23"/>
    <mergeCell ref="A24:H24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43</v>
      </c>
      <c r="B1" s="1"/>
      <c r="C1" s="1"/>
      <c r="D1" s="1"/>
    </row>
    <row r="3" customFormat="false" ht="19.5" hidden="false" customHeight="true" outlineLevel="0" collapsed="false">
      <c r="A3" s="5" t="s">
        <v>126</v>
      </c>
      <c r="B3" s="5"/>
      <c r="C3" s="5"/>
      <c r="D3" s="5"/>
    </row>
    <row r="4" customFormat="false" ht="19.5" hidden="false" customHeight="true" outlineLevel="0" collapsed="false">
      <c r="A4" s="14" t="s">
        <v>55</v>
      </c>
      <c r="B4" s="9" t="s">
        <v>5</v>
      </c>
      <c r="C4" s="9" t="s">
        <v>127</v>
      </c>
      <c r="D4" s="9" t="s">
        <v>128</v>
      </c>
    </row>
    <row r="5" customFormat="false" ht="19.5" hidden="false" customHeight="true" outlineLevel="0" collapsed="false">
      <c r="A5" s="38" t="n">
        <v>1</v>
      </c>
      <c r="B5" s="4" t="s">
        <v>6</v>
      </c>
      <c r="C5" s="4" t="s">
        <v>8</v>
      </c>
      <c r="D5" s="3" t="s">
        <v>129</v>
      </c>
    </row>
    <row r="6" customFormat="false" ht="19.5" hidden="false" customHeight="true" outlineLevel="0" collapsed="false">
      <c r="A6" s="38"/>
      <c r="B6" s="7"/>
      <c r="C6" s="7"/>
      <c r="D6" s="7"/>
    </row>
    <row r="7" customFormat="false" ht="19.5" hidden="false" customHeight="true" outlineLevel="0" collapsed="false">
      <c r="A7" s="38"/>
      <c r="B7" s="7"/>
      <c r="C7" s="7"/>
      <c r="D7" s="7"/>
    </row>
    <row r="8" customFormat="false" ht="19.5" hidden="false" customHeight="true" outlineLevel="0" collapsed="false">
      <c r="A8" s="38"/>
      <c r="B8" s="7"/>
      <c r="C8" s="7"/>
      <c r="D8" s="7"/>
    </row>
    <row r="10" customFormat="false" ht="19.5" hidden="false" customHeight="true" outlineLevel="0" collapsed="false">
      <c r="A10" s="5" t="s">
        <v>130</v>
      </c>
      <c r="B10" s="5"/>
      <c r="C10" s="5"/>
      <c r="D10" s="5"/>
    </row>
    <row r="11" customFormat="false" ht="19.5" hidden="false" customHeight="true" outlineLevel="0" collapsed="false">
      <c r="A11" s="14" t="s">
        <v>55</v>
      </c>
      <c r="B11" s="9" t="s">
        <v>131</v>
      </c>
      <c r="C11" s="9" t="s">
        <v>132</v>
      </c>
      <c r="D11" s="14" t="s">
        <v>133</v>
      </c>
    </row>
    <row r="12" customFormat="false" ht="31.5" hidden="false" customHeight="true" outlineLevel="0" collapsed="false">
      <c r="A12" s="38" t="n">
        <v>1</v>
      </c>
      <c r="B12" s="3" t="s">
        <v>134</v>
      </c>
      <c r="C12" s="4" t="s">
        <v>135</v>
      </c>
      <c r="D12" s="39" t="s">
        <v>136</v>
      </c>
    </row>
    <row r="13" customFormat="false" ht="31.5" hidden="false" customHeight="true" outlineLevel="0" collapsed="false">
      <c r="A13" s="38" t="n">
        <v>2</v>
      </c>
      <c r="B13" s="3" t="s">
        <v>137</v>
      </c>
      <c r="C13" s="3" t="s">
        <v>138</v>
      </c>
      <c r="D13" s="3" t="s">
        <v>139</v>
      </c>
    </row>
    <row r="14" customFormat="false" ht="19.5" hidden="false" customHeight="true" outlineLevel="0" collapsed="false">
      <c r="A14" s="38" t="n">
        <v>3</v>
      </c>
      <c r="B14" s="4" t="s">
        <v>140</v>
      </c>
      <c r="C14" s="3" t="s">
        <v>141</v>
      </c>
      <c r="D14" s="39" t="s">
        <v>142</v>
      </c>
    </row>
    <row r="15" customFormat="false" ht="19.5" hidden="false" customHeight="true" outlineLevel="0" collapsed="false">
      <c r="A15" s="38" t="n">
        <v>4</v>
      </c>
      <c r="B15" s="4" t="s">
        <v>143</v>
      </c>
      <c r="C15" s="3" t="s">
        <v>141</v>
      </c>
      <c r="D15" s="39" t="s">
        <v>144</v>
      </c>
    </row>
    <row r="16" customFormat="false" ht="45.75" hidden="false" customHeight="true" outlineLevel="0" collapsed="false">
      <c r="A16" s="38" t="n">
        <v>5</v>
      </c>
      <c r="B16" s="3" t="s">
        <v>145</v>
      </c>
      <c r="C16" s="3" t="s">
        <v>146</v>
      </c>
      <c r="D16" s="3" t="s">
        <v>147</v>
      </c>
    </row>
    <row r="18" customFormat="false" ht="19.5" hidden="false" customHeight="true" outlineLevel="0" collapsed="false">
      <c r="A18" s="5" t="s">
        <v>148</v>
      </c>
      <c r="B18" s="5"/>
      <c r="C18" s="5"/>
      <c r="D18" s="5"/>
    </row>
    <row r="19" customFormat="false" ht="48" hidden="false" customHeight="true" outlineLevel="0" collapsed="false">
      <c r="A19" s="40" t="s">
        <v>149</v>
      </c>
      <c r="B19" s="40"/>
      <c r="C19" s="40"/>
      <c r="D19" s="40"/>
    </row>
  </sheetData>
  <mergeCells count="5">
    <mergeCell ref="A1:D1"/>
    <mergeCell ref="A3:D3"/>
    <mergeCell ref="A10:D10"/>
    <mergeCell ref="A18:D18"/>
    <mergeCell ref="A19:D19"/>
  </mergeCells>
  <hyperlinks>
    <hyperlink ref="D12" r:id="rId1" display="https://laws.e-gov.go.jp/"/>
    <hyperlink ref="D14" r:id="rId2" display="https://www.jgrants-portal.go.jp/"/>
    <hyperlink ref="D15" r:id="rId3" display="https://gbiz-id.go.jp/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2026-09-27T06:33:16Z</dcterms:created>
  <dc:creator>openpyxl</dc:creator>
  <dc:description/>
  <dc:language>en-US</dc:language>
  <cp:lastModifiedBy/>
  <dcterms:modified xsi:type="dcterms:W3CDTF">2026-09-27T06:33:16Z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